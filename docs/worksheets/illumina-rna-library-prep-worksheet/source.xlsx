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tocol" sheetId="1" r:id="rId4"/>
    <sheet state="visible" name="Sample Layout" sheetId="2" r:id="rId5"/>
  </sheets>
  <definedNames/>
  <calcPr/>
  <extLst>
    <ext uri="GoogleSheetsCustomDataVersion2">
      <go:sheetsCustomData xmlns:go="http://customooxmlschemas.google.com/" r:id="rId6" roundtripDataChecksum="W3Uh92fKyzMg79GAk7LHy59k0utXtAC7DptRvVvj0Zg="/>
    </ext>
  </extLst>
</workbook>
</file>

<file path=xl/sharedStrings.xml><?xml version="1.0" encoding="utf-8"?>
<sst xmlns="http://schemas.openxmlformats.org/spreadsheetml/2006/main" count="201" uniqueCount="111">
  <si>
    <t>Illumina RNA Library Prep Worksheet</t>
  </si>
  <si>
    <t>Date: 6/4/2024</t>
  </si>
  <si>
    <r>
      <rPr>
        <rFont val="Arial"/>
        <color theme="1"/>
        <sz val="10.0"/>
      </rPr>
      <t xml:space="preserve">
</t>
    </r>
    <r>
      <rPr>
        <rFont val="Arial"/>
        <b/>
        <color theme="1"/>
        <sz val="10.0"/>
      </rPr>
      <t>Workflow:</t>
    </r>
    <r>
      <rPr>
        <rFont val="Arial"/>
        <color theme="1"/>
        <sz val="10.0"/>
      </rPr>
      <t xml:space="preserve"> 1. RNA Fragmentation + Priming; 2. first strand cDNA synthesis; 3. second strand cDNA synthesis; 4. SPRI clean-up; 5. End Prep; 6. Adapter Ligation; 7. SPRI clean-up + size selection; 8. Barcoding PCR; 9. SPRI clean-up + size selection. 
These protocols are an adaptation of the NEBNext Ultra II RNA Library Preparation (non-directional) Protocol. </t>
    </r>
  </si>
  <si>
    <t>1. Fragmentation + Priming</t>
  </si>
  <si>
    <t>Reagent</t>
  </si>
  <si>
    <t>1 rxn</t>
  </si>
  <si>
    <t>0.5 rxn</t>
  </si>
  <si>
    <t>X half rxns</t>
  </si>
  <si>
    <t>X =</t>
  </si>
  <si>
    <t>vol stock (µL)</t>
  </si>
  <si>
    <t>RNA sample (10-100ng total)</t>
  </si>
  <si>
    <t>25pg ERCC Spike-in (50pg/uL stock)</t>
  </si>
  <si>
    <t>(pink) First SS Rxn. Buffer 5x</t>
  </si>
  <si>
    <t>(pink) Random Primers</t>
  </si>
  <si>
    <t>*QIAseq FastSelect (1:10) rRNA</t>
  </si>
  <si>
    <t>Master Mix volume</t>
  </si>
  <si>
    <t>Total volume</t>
  </si>
  <si>
    <t>Purple = Reagents to add to master mix</t>
  </si>
  <si>
    <t>Add 3.25uL mix to RNA sample</t>
  </si>
  <si>
    <r>
      <rPr>
        <rFont val="Arial"/>
        <color theme="1"/>
      </rPr>
      <t xml:space="preserve">
*FastSelect is designed for removing human rRNA, omit this reagent if not using human derived samples and only incubate at 94°C and then directly to 4°C (omit ramping down steps). 
Mix the master mix and final rxns by pipetting up and down.
Thermocycler (heated lid set to 105˚C):
·       </t>
    </r>
    <r>
      <rPr>
        <rFont val="Arial"/>
        <color rgb="FFCC0000"/>
      </rPr>
      <t>10 seconds**</t>
    </r>
    <r>
      <rPr>
        <rFont val="Arial"/>
        <color theme="1"/>
      </rPr>
      <t xml:space="preserve"> at 94°C
·       2 min 75C
·       2 min 70C
·       2 min 65C
·       2 min 60C
·       2 min 55C
·       5 min 37C
·       5 min 25C
·       Hold 4°C</t>
    </r>
  </si>
  <si>
    <t>2. First Strand Synthesis</t>
  </si>
  <si>
    <t>Fragmented &amp; primed RNA</t>
  </si>
  <si>
    <t>-</t>
  </si>
  <si>
    <t>Nuclease-free water</t>
  </si>
  <si>
    <t>(pink) NEBNext First Strand Synthesis Enzyme Mix</t>
  </si>
  <si>
    <t>Add 5µL mix to frag/primed RNA</t>
  </si>
  <si>
    <t xml:space="preserve">
Mix the master mix and final rxns by pipetting up and down
Thermocycler (heated lid set to 105˚C):
·       10 mins at 25°C
·       15 mins at 42°C
·       15 mins at 70°C
·       Hold at 4˚C</t>
  </si>
  <si>
    <t>3. Second Strand Synthesis</t>
  </si>
  <si>
    <t>vol stock (uL)</t>
  </si>
  <si>
    <t>First strand synthesized DNA</t>
  </si>
  <si>
    <t>(orange) 2nd SS Reaction buffer (10X)</t>
  </si>
  <si>
    <t>(orange) 2nd SS enzyme mix</t>
  </si>
  <si>
    <t>Orange = Reagents to add to master mix</t>
  </si>
  <si>
    <t>Add 30 uL mix to ss-cDNA</t>
  </si>
  <si>
    <t xml:space="preserve">
Thermocycler (heated lid off):
·       1 hour at 16˚C
·       Hold at 4°C</t>
  </si>
  <si>
    <t>4. SPRI Bead Clean-up</t>
  </si>
  <si>
    <t>SPRI bead ratio:</t>
  </si>
  <si>
    <t>Sample volume:</t>
  </si>
  <si>
    <t>µL</t>
  </si>
  <si>
    <t>SPRI to add:</t>
  </si>
  <si>
    <t>Elution volume:</t>
  </si>
  <si>
    <t>Aspiration volume:</t>
  </si>
  <si>
    <r>
      <rPr>
        <rFont val="Arial"/>
        <color theme="1"/>
      </rPr>
      <t xml:space="preserve">
</t>
    </r>
    <r>
      <rPr>
        <rFont val="Arial"/>
        <b/>
        <color theme="1"/>
      </rPr>
      <t xml:space="preserve">SPRI clean-up protocol:
</t>
    </r>
    <r>
      <rPr>
        <rFont val="Arial"/>
        <color theme="1"/>
      </rPr>
      <t xml:space="preserve">*allow beads to sit in RT for 30 mins prior. Ensure you have enough 80% ethanol.
1. Add room temperature beads to rxn. Mix well by pipetting up and down 10 times.
2. Incubate for 5 mins at room temperature.
3. Place samples on magnetic rack, and incubate for 5 mins on the rack.
4. Remove supernatant and add 200uL of 80% EtOH to samples while on the magnetic rack. 
5. Incubate at room temperature for 30s and remove the supernatant.
6. Repeat EtOH wash step once for a total of 2 washes.
7. Air dry the beads for 5 mins while on the magnetic rack.
8. Remove tube from magnetic rack. Elute DNA from beads into nuclease free water (can also use 0.1x TE Buffer, 10mM Tris-HCl)
9. Pipette mix and incubate for 2 mins at room temperature off the magnetic rack.
10. Place on magnetic rack until solution is clear, ~ 5 mins.
11. Aspirate supernatant and transfer to a clean nuclease free PCR tube.
**Checkpoint: Samples can be stored frozen at -20 °C and library prep resumed the next day.
</t>
    </r>
  </si>
  <si>
    <t>5. End Prep of cDNA Library</t>
  </si>
  <si>
    <t>Purified ds-cDNA</t>
  </si>
  <si>
    <t>(green) Ultra II End Prep reaction buffer (8.6x)</t>
  </si>
  <si>
    <t>(green) Ultra II End Prep enzyme mix</t>
  </si>
  <si>
    <t>Green = Reagents to add to master mix</t>
  </si>
  <si>
    <t>Add 5uL mix to ds-cDNA</t>
  </si>
  <si>
    <t xml:space="preserve">
Thermocycler (heated lid set to 105˚C):
·       30 mins at 20˚C
·       30 mins at 65˚C
·       Hold at 4˚C</t>
  </si>
  <si>
    <t>6. Adapter Ligation</t>
  </si>
  <si>
    <t xml:space="preserve">
Prepare mini adapter prior to making master mix. Different than classic adaptor, mini adapter may be used at 3uM regardless of the amount of sample input
Add adaptor separately after ligation master mix and ligation enhancer to avoid adaptor dimers.
</t>
  </si>
  <si>
    <t>End Prep reaction mixture</t>
  </si>
  <si>
    <t>(red) NEBNext Ultra II ligation master mix</t>
  </si>
  <si>
    <t>(red) NEBNext ligation enhancer</t>
  </si>
  <si>
    <t>3uM TS mini adapter</t>
  </si>
  <si>
    <t>** do not premix</t>
  </si>
  <si>
    <t>Pink = Reagents to add to master mix</t>
  </si>
  <si>
    <t>Add 15.5 uL MM + LE to end prep mixture, then 1.25uL adaptor</t>
  </si>
  <si>
    <t xml:space="preserve">
Thermocycler (heated lid off):
·   	15 mins at 20˚C with heated lid off
·   	Proceed immediately to Bead Purification. </t>
  </si>
  <si>
    <t>7. SPRI Bead Clean-up and Size Selection</t>
  </si>
  <si>
    <t>SPRI to add (per half rxn):</t>
  </si>
  <si>
    <t>Elution volume (per half rxn):</t>
  </si>
  <si>
    <t>Aspiration volume (per half rxn):</t>
  </si>
  <si>
    <t xml:space="preserve">
*See Step 4 for SPRI clean-up protocol
**Checkpoint: Samples can be stored frozen at -20 °C and library prep resumed the next day.
</t>
  </si>
  <si>
    <t>8. Barcoding PCR</t>
  </si>
  <si>
    <t>vol stock (ul)</t>
  </si>
  <si>
    <t>Purified, adaptor-ligated cDNA</t>
  </si>
  <si>
    <t>(white) USER Enzyme (Cat no. M5505L, 250uL)</t>
  </si>
  <si>
    <t>(blue) NEBNext Ultra II Q5 master mix</t>
  </si>
  <si>
    <t>5uM i7 barcoded primer (NEB index primer/TruSeq/or similar)</t>
  </si>
  <si>
    <t>10 (*premixed)</t>
  </si>
  <si>
    <t>5 (*premixed)</t>
  </si>
  <si>
    <t>5 µl unique to each sample</t>
  </si>
  <si>
    <t>5uM i5 barcoded primer (NEB Universal primer/TruSeq/or similar)</t>
  </si>
  <si>
    <t>Add 12.5 uL Q5 mix + 5µL of primers to adaptor-ligated cDNA</t>
  </si>
  <si>
    <t xml:space="preserve">
* See here for adaptor barcode assignments
</t>
  </si>
  <si>
    <t>Thermocycler (lid at 105˚C)</t>
  </si>
  <si>
    <t>Cycles</t>
  </si>
  <si>
    <t>37 °C for 15 mins</t>
  </si>
  <si>
    <t>98 °C for 30s</t>
  </si>
  <si>
    <t>98 °C for 10s</t>
  </si>
  <si>
    <t>6-19**</t>
  </si>
  <si>
    <t>65 °C for 75s</t>
  </si>
  <si>
    <t>65˚C for 5 mins</t>
  </si>
  <si>
    <t>Hold at 4˚C</t>
  </si>
  <si>
    <t>** PCR cycles are dependent on the input RNA. For libraries with &lt;5ng input, perform 15-19 cycles of PCR. For 5-20ng input, perform 10-14 cycles of PCR. For &gt;20ng input, perform 6-8 cycles of PCR.</t>
  </si>
  <si>
    <t>9. SPRI Bead Clean-up and Size Selection</t>
  </si>
  <si>
    <t>*See Step 4 for SPRI clean-up protocol
**Checkpoint: Samples can be stored frozen at -20 °C and library prep resumed the next day.</t>
  </si>
  <si>
    <t>RR036c2 training ID</t>
  </si>
  <si>
    <t>CZB Barcode</t>
  </si>
  <si>
    <t>Infection Class</t>
  </si>
  <si>
    <t>Sample type</t>
  </si>
  <si>
    <t>Trainee</t>
  </si>
  <si>
    <t>RR036C2041</t>
  </si>
  <si>
    <t>Unknown</t>
  </si>
  <si>
    <t>Serum</t>
  </si>
  <si>
    <t>RR036C2054</t>
  </si>
  <si>
    <t>ExtCtrl</t>
  </si>
  <si>
    <t>Water ctrl</t>
  </si>
  <si>
    <t>RR036C2051</t>
  </si>
  <si>
    <t>RR036C2028</t>
  </si>
  <si>
    <t>RR036C2023</t>
  </si>
  <si>
    <t>RR036C2071</t>
  </si>
  <si>
    <t>Shield</t>
  </si>
  <si>
    <t>RR036C2042</t>
  </si>
  <si>
    <t>RR036C2055</t>
  </si>
  <si>
    <t>RR036C2049</t>
  </si>
  <si>
    <t>RR036C2010</t>
  </si>
  <si>
    <t>RR036C2037</t>
  </si>
  <si>
    <t>RR036C2072</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</si>
</sst>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
  </numFmts>
  <fonts count="14">
    <font>
      <sz val="10.0"/>
      <color rgb="FF000000"/>
      <name val="Arial"/>
      <scheme val="minor"/>
    </font>
    <font>
      <b/>
      <sz val="14.0"/>
      <color theme="1"/>
      <name val="Arial"/>
    </font>
    <font/>
    <font>
      <b/>
      <sz val="10.0"/>
      <color theme="1"/>
      <name val="Arial"/>
    </font>
    <font>
      <color theme="1"/>
      <name val="Arial"/>
    </font>
    <font>
      <sz val="10.0"/>
      <color theme="1"/>
      <name val="Arial"/>
    </font>
    <font>
      <b/>
      <color rgb="FF000000"/>
      <name val="Arial"/>
    </font>
    <font>
      <color rgb="FF000000"/>
      <name val="Arial"/>
    </font>
    <font>
      <b/>
      <sz val="10.0"/>
      <color rgb="FF000000"/>
      <name val="Arial"/>
    </font>
    <font>
      <b/>
      <color theme="1"/>
      <name val="Arial"/>
    </font>
    <font>
      <b/>
      <sz val="14.0"/>
      <color rgb="FF000000"/>
      <name val="Arial"/>
    </font>
    <font>
      <sz val="10.0"/>
      <color rgb="FF000000"/>
      <name val="Arial"/>
    </font>
    <font>
      <strike/>
      <color rgb="FF000000"/>
      <name val="Arial"/>
    </font>
    <font>
      <color rgb="FF0070C0"/>
      <name val="Arial"/>
    </font>
  </fonts>
  <fills count="13">
    <fill>
      <patternFill patternType="none"/>
    </fill>
    <fill>
      <patternFill patternType="lightGray"/>
    </fill>
    <fill>
      <patternFill patternType="solid">
        <fgColor rgb="FFD9D2E9"/>
        <bgColor rgb="FFD9D2E9"/>
      </patternFill>
    </fill>
    <fill>
      <patternFill patternType="solid">
        <fgColor rgb="FFB4A7D6"/>
        <bgColor rgb="FFB4A7D6"/>
      </patternFill>
    </fill>
    <fill>
      <patternFill patternType="solid">
        <fgColor rgb="FFF4CCCC"/>
        <bgColor rgb="FFF4CCCC"/>
      </patternFill>
    </fill>
    <fill>
      <patternFill patternType="solid">
        <fgColor rgb="FFFCE5CD"/>
        <bgColor rgb="FFFCE5CD"/>
      </patternFill>
    </fill>
    <fill>
      <patternFill patternType="solid">
        <fgColor rgb="FFF6B26B"/>
        <bgColor rgb="FFF6B26B"/>
      </patternFill>
    </fill>
    <fill>
      <patternFill patternType="solid">
        <fgColor rgb="FFD9EAD3"/>
        <bgColor rgb="FFD9EAD3"/>
      </patternFill>
    </fill>
    <fill>
      <patternFill patternType="solid">
        <fgColor rgb="FF93C47D"/>
        <bgColor rgb="FF93C47D"/>
      </patternFill>
    </fill>
    <fill>
      <patternFill patternType="solid">
        <fgColor rgb="FFEA9999"/>
        <bgColor rgb="FFEA9999"/>
      </patternFill>
    </fill>
    <fill>
      <patternFill patternType="solid">
        <fgColor rgb="FFCFE2F3"/>
        <bgColor rgb="FFCFE2F3"/>
      </patternFill>
    </fill>
    <fill>
      <patternFill patternType="solid">
        <fgColor rgb="FF6FA8DC"/>
        <bgColor rgb="FF6FA8DC"/>
      </patternFill>
    </fill>
    <fill>
      <patternFill patternType="solid">
        <fgColor rgb="FFFFFFFF"/>
        <bgColor rgb="FFFFFFFF"/>
      </patternFill>
    </fill>
  </fills>
  <borders count="36">
    <border/>
    <border>
      <left style="thin">
        <color rgb="FFFFFFFF"/>
      </left>
      <top style="thin">
        <color rgb="FFFFFFFF"/>
      </top>
      <bottom style="thin">
        <color rgb="FFFFFFFF"/>
      </bottom>
    </border>
    <border>
      <top style="thin">
        <color rgb="FFFFFFFF"/>
      </top>
      <bottom style="thin">
        <color rgb="FFFFFFFF"/>
      </bottom>
    </border>
    <border>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top style="thin">
        <color rgb="FFFFFFFF"/>
      </top>
      <bottom style="thin">
        <color rgb="FF000000"/>
      </bottom>
    </border>
    <border>
      <top style="thin">
        <color rgb="FFFFFFFF"/>
      </top>
      <bottom style="thin">
        <color rgb="FF000000"/>
      </bottom>
    </border>
    <border>
      <right style="thin">
        <color rgb="FFFFFFFF"/>
      </right>
      <top style="thin">
        <color rgb="FFFFFFFF"/>
      </top>
      <bottom style="thin">
        <color rgb="FF000000"/>
      </bottom>
    </border>
    <border>
      <left style="thin">
        <color rgb="FF000000"/>
      </left>
      <right style="thin">
        <color rgb="FF000000"/>
      </right>
      <top style="thin">
        <color rgb="FF000000"/>
      </top>
    </border>
    <border>
      <left style="thin">
        <color rgb="FF000000"/>
      </left>
      <top style="thin">
        <color rgb="FF000000"/>
      </top>
    </border>
    <border>
      <left style="medium">
        <color rgb="FF000000"/>
      </left>
      <top style="medium">
        <color rgb="FF000000"/>
      </top>
      <bottom style="thin">
        <color rgb="FF000000"/>
      </bottom>
    </border>
    <border>
      <right style="medium">
        <color rgb="FF000000"/>
      </right>
      <top style="medium">
        <color rgb="FF000000"/>
      </top>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
      <left style="thin">
        <color rgb="FF000000"/>
      </left>
      <bottom style="thin">
        <color rgb="FF000000"/>
      </bottom>
    </border>
    <border>
      <left style="medium">
        <color rgb="FF000000"/>
      </left>
      <right style="thin">
        <color rgb="FFFFFFFF"/>
      </right>
      <top style="thin">
        <color rgb="FF000000"/>
      </top>
      <bottom style="thin">
        <color rgb="FF000000"/>
      </bottom>
    </border>
    <border>
      <right style="medium">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left style="medium">
        <color rgb="FF000000"/>
      </left>
      <top style="thin">
        <color rgb="FF000000"/>
      </top>
      <bottom style="thin">
        <color rgb="FF000000"/>
      </bottom>
    </border>
    <border>
      <left style="thin">
        <color rgb="FF000000"/>
      </left>
      <top style="thin">
        <color rgb="FF000000"/>
      </top>
      <bottom style="thin">
        <color rgb="FFFFFFFF"/>
      </bottom>
    </border>
    <border>
      <right style="thin">
        <color rgb="FF000000"/>
      </right>
      <top style="thin">
        <color rgb="FF000000"/>
      </top>
      <bottom style="thin">
        <color rgb="FFFFFFFF"/>
      </bottom>
    </border>
    <border>
      <left style="medium">
        <color rgb="FF000000"/>
      </left>
      <top style="thin">
        <color rgb="FF000000"/>
      </top>
      <bottom style="medium">
        <color rgb="FF000000"/>
      </bottom>
    </border>
    <border>
      <right style="medium">
        <color rgb="FF000000"/>
      </right>
      <top style="thin">
        <color rgb="FF000000"/>
      </top>
      <bottom style="medium">
        <color rgb="FF000000"/>
      </bottom>
    </border>
    <border>
      <left style="thin">
        <color rgb="FFFFFFFF"/>
      </left>
      <bottom style="thin">
        <color rgb="FFFFFFFF"/>
      </bottom>
    </border>
    <border>
      <bottom style="thin">
        <color rgb="FFFFFFFF"/>
      </bottom>
    </border>
    <border>
      <right style="thin">
        <color rgb="FFFFFFFF"/>
      </right>
      <bottom style="thin">
        <color rgb="FFFFFFFF"/>
      </bottom>
    </border>
    <border>
      <left style="thin">
        <color rgb="FFFFFFFF"/>
      </left>
      <top style="thin">
        <color rgb="FFFFFFFF"/>
      </top>
    </border>
    <border>
      <top style="thin">
        <color rgb="FFFFFFFF"/>
      </top>
    </border>
    <border>
      <right style="thin">
        <color rgb="FFFFFFFF"/>
      </right>
      <top style="thin">
        <color rgb="FFFFFFFF"/>
      </top>
    </border>
    <border>
      <left style="thin">
        <color rgb="FFFFFFFF"/>
      </left>
    </border>
    <border>
      <right style="thin">
        <color rgb="FFFFFFFF"/>
      </right>
    </border>
    <border>
      <left style="medium">
        <color rgb="FF000000"/>
      </left>
      <top style="thin">
        <color rgb="FF000000"/>
      </top>
    </border>
    <border>
      <right style="medium">
        <color rgb="FF000000"/>
      </right>
      <top style="thin">
        <color rgb="FF000000"/>
      </top>
    </border>
    <border>
      <left style="medium">
        <color rgb="FF000000"/>
      </left>
      <bottom style="thin">
        <color rgb="FF000000"/>
      </bottom>
    </border>
    <border>
      <right style="medium">
        <color rgb="FF000000"/>
      </right>
      <bottom style="thin">
        <color rgb="FF000000"/>
      </bottom>
    </border>
  </borders>
  <cellStyleXfs count="1">
    <xf borderId="0" fillId="0" fontId="0" numFmtId="0" applyAlignment="1" applyFont="1"/>
  </cellStyleXfs>
  <cellXfs count="161">
    <xf borderId="0" fillId="0" fontId="0" numFmtId="0" xfId="0" applyAlignment="1" applyFont="1">
      <alignment readingOrder="0" shrinkToFit="0" vertical="bottom" wrapText="0"/>
    </xf>
    <xf borderId="1" fillId="0" fontId="1" numFmtId="0" xfId="0" applyAlignment="1" applyBorder="1" applyFont="1">
      <alignment horizontal="center"/>
    </xf>
    <xf borderId="2" fillId="0" fontId="2" numFmtId="0" xfId="0" applyBorder="1" applyFont="1"/>
    <xf borderId="3" fillId="0" fontId="2" numFmtId="0" xfId="0" applyBorder="1" applyFont="1"/>
    <xf borderId="4" fillId="0" fontId="3" numFmtId="0" xfId="0" applyAlignment="1" applyBorder="1" applyFont="1">
      <alignment horizontal="left"/>
    </xf>
    <xf borderId="4" fillId="0" fontId="4" numFmtId="0" xfId="0" applyBorder="1" applyFont="1"/>
    <xf borderId="1" fillId="0" fontId="5" numFmtId="0" xfId="0" applyAlignment="1" applyBorder="1" applyFont="1">
      <alignment horizontal="left" shrinkToFit="0" vertical="top" wrapText="1"/>
    </xf>
    <xf borderId="5" fillId="0" fontId="1" numFmtId="0" xfId="0" applyAlignment="1" applyBorder="1" applyFont="1">
      <alignment horizontal="center"/>
    </xf>
    <xf borderId="6" fillId="0" fontId="2" numFmtId="0" xfId="0" applyBorder="1" applyFont="1"/>
    <xf borderId="7" fillId="0" fontId="2" numFmtId="0" xfId="0" applyBorder="1" applyFont="1"/>
    <xf borderId="8" fillId="0" fontId="6" numFmtId="0" xfId="0" applyAlignment="1" applyBorder="1" applyFont="1">
      <alignment horizontal="center" shrinkToFit="0" vertical="center" wrapText="1"/>
    </xf>
    <xf borderId="8" fillId="0" fontId="7" numFmtId="0" xfId="0" applyAlignment="1" applyBorder="1" applyFont="1">
      <alignment horizontal="center" shrinkToFit="0" vertical="center" wrapText="1"/>
    </xf>
    <xf borderId="9" fillId="0" fontId="7" numFmtId="0" xfId="0" applyAlignment="1" applyBorder="1" applyFont="1">
      <alignment horizontal="center" shrinkToFit="0" vertical="center" wrapText="1"/>
    </xf>
    <xf borderId="10" fillId="0" fontId="7" numFmtId="0" xfId="0" applyAlignment="1" applyBorder="1" applyFont="1">
      <alignment horizontal="center" shrinkToFit="0" vertical="center" wrapText="1"/>
    </xf>
    <xf borderId="11" fillId="0" fontId="2" numFmtId="0" xfId="0" applyBorder="1" applyFont="1"/>
    <xf borderId="12" fillId="0" fontId="2" numFmtId="0" xfId="0" applyBorder="1" applyFont="1"/>
    <xf borderId="13" fillId="0" fontId="2" numFmtId="0" xfId="0" applyBorder="1" applyFont="1"/>
    <xf borderId="14" fillId="0" fontId="2" numFmtId="0" xfId="0" applyBorder="1" applyFont="1"/>
    <xf borderId="15" fillId="0" fontId="4" numFmtId="0" xfId="0" applyBorder="1" applyFont="1"/>
    <xf borderId="16" fillId="0" fontId="4" numFmtId="0" xfId="0" applyAlignment="1" applyBorder="1" applyFont="1">
      <alignment horizontal="center"/>
    </xf>
    <xf borderId="17" fillId="0" fontId="6" numFmtId="0" xfId="0" applyAlignment="1" applyBorder="1" applyFont="1">
      <alignment horizontal="center" shrinkToFit="0" vertical="center" wrapText="1"/>
    </xf>
    <xf borderId="18" fillId="0" fontId="6" numFmtId="0" xfId="0" applyAlignment="1" applyBorder="1" applyFont="1">
      <alignment horizontal="center" shrinkToFit="0" vertical="center" wrapText="1"/>
    </xf>
    <xf borderId="19" fillId="0" fontId="6" numFmtId="0" xfId="0" applyAlignment="1" applyBorder="1" applyFont="1">
      <alignment horizontal="center" shrinkToFit="0" vertical="center" wrapText="1"/>
    </xf>
    <xf borderId="16" fillId="0" fontId="2" numFmtId="0" xfId="0" applyBorder="1" applyFont="1"/>
    <xf borderId="17" fillId="0" fontId="7" numFmtId="0" xfId="0" applyAlignment="1" applyBorder="1" applyFont="1">
      <alignment horizontal="left" shrinkToFit="0" vertical="center" wrapText="1"/>
    </xf>
    <xf borderId="17" fillId="0" fontId="7" numFmtId="0" xfId="0" applyAlignment="1" applyBorder="1" applyFont="1">
      <alignment horizontal="center" shrinkToFit="0" vertical="center" wrapText="1"/>
    </xf>
    <xf borderId="18" fillId="0" fontId="7" numFmtId="0" xfId="0" applyAlignment="1" applyBorder="1" applyFont="1">
      <alignment horizontal="center" shrinkToFit="0" vertical="center" wrapText="1"/>
    </xf>
    <xf borderId="19" fillId="0" fontId="7" numFmtId="2" xfId="0" applyAlignment="1" applyBorder="1" applyFont="1" applyNumberFormat="1">
      <alignment horizontal="center" shrinkToFit="0" vertical="center" wrapText="1"/>
    </xf>
    <xf borderId="17" fillId="2" fontId="7" numFmtId="0" xfId="0" applyAlignment="1" applyBorder="1" applyFill="1" applyFont="1">
      <alignment horizontal="left" shrinkToFit="0" vertical="center" wrapText="1"/>
    </xf>
    <xf borderId="17" fillId="2" fontId="7" numFmtId="0" xfId="0" applyAlignment="1" applyBorder="1" applyFont="1">
      <alignment horizontal="center" shrinkToFit="0" vertical="center" wrapText="1"/>
    </xf>
    <xf borderId="18" fillId="2" fontId="7" numFmtId="0" xfId="0" applyAlignment="1" applyBorder="1" applyFont="1">
      <alignment horizontal="center" shrinkToFit="0" vertical="center" wrapText="1"/>
    </xf>
    <xf borderId="19" fillId="2" fontId="7" numFmtId="2" xfId="0" applyAlignment="1" applyBorder="1" applyFont="1" applyNumberFormat="1">
      <alignment horizontal="center" shrinkToFit="0" vertical="center" wrapText="1"/>
    </xf>
    <xf borderId="17" fillId="3" fontId="7" numFmtId="0" xfId="0" applyAlignment="1" applyBorder="1" applyFill="1" applyFont="1">
      <alignment horizontal="left" shrinkToFit="0" vertical="center" wrapText="1"/>
    </xf>
    <xf borderId="17" fillId="3" fontId="7" numFmtId="0" xfId="0" applyAlignment="1" applyBorder="1" applyFont="1">
      <alignment horizontal="center" shrinkToFit="0" vertical="center" wrapText="1"/>
    </xf>
    <xf borderId="18" fillId="3" fontId="7" numFmtId="0" xfId="0" applyAlignment="1" applyBorder="1" applyFont="1">
      <alignment horizontal="center" shrinkToFit="0" vertical="center" wrapText="1"/>
    </xf>
    <xf borderId="19" fillId="3" fontId="7" numFmtId="2" xfId="0" applyAlignment="1" applyBorder="1" applyFont="1" applyNumberFormat="1">
      <alignment horizontal="center" shrinkToFit="0" vertical="center" wrapText="1"/>
    </xf>
    <xf borderId="17" fillId="0" fontId="8" numFmtId="0" xfId="0" applyAlignment="1" applyBorder="1" applyFont="1">
      <alignment horizontal="left" shrinkToFit="0" vertical="center" wrapText="1"/>
    </xf>
    <xf borderId="8" fillId="0" fontId="3" numFmtId="0" xfId="0" applyAlignment="1" applyBorder="1" applyFont="1">
      <alignment horizontal="center" vertical="center"/>
    </xf>
    <xf borderId="9" fillId="0" fontId="3" numFmtId="0" xfId="0" applyAlignment="1" applyBorder="1" applyFont="1">
      <alignment horizontal="center" vertical="center"/>
    </xf>
    <xf borderId="19" fillId="0" fontId="3" numFmtId="0" xfId="0" applyAlignment="1" applyBorder="1" applyFont="1">
      <alignment horizontal="center" vertical="center"/>
    </xf>
    <xf borderId="18" fillId="2" fontId="4" numFmtId="0" xfId="0" applyAlignment="1" applyBorder="1" applyFont="1">
      <alignment shrinkToFit="0" vertical="center" wrapText="1"/>
    </xf>
    <xf borderId="20" fillId="0" fontId="7" numFmtId="0" xfId="0" applyAlignment="1" applyBorder="1" applyFont="1">
      <alignment horizontal="center" shrinkToFit="0" vertical="center" wrapText="1"/>
    </xf>
    <xf borderId="21" fillId="0" fontId="2" numFmtId="0" xfId="0" applyBorder="1" applyFont="1"/>
    <xf borderId="22" fillId="4" fontId="7" numFmtId="0" xfId="0" applyAlignment="1" applyBorder="1" applyFill="1" applyFont="1">
      <alignment horizontal="center" shrinkToFit="0" vertical="center" wrapText="1"/>
    </xf>
    <xf borderId="23" fillId="0" fontId="2" numFmtId="0" xfId="0" applyBorder="1" applyFont="1"/>
    <xf borderId="24" fillId="0" fontId="4" numFmtId="0" xfId="0" applyAlignment="1" applyBorder="1" applyFont="1">
      <alignment shrinkToFit="0" vertical="top" wrapText="1"/>
    </xf>
    <xf borderId="25" fillId="0" fontId="2" numFmtId="0" xfId="0" applyBorder="1" applyFont="1"/>
    <xf borderId="26" fillId="0" fontId="2" numFmtId="0" xfId="0" applyBorder="1" applyFont="1"/>
    <xf borderId="27" fillId="0" fontId="1" numFmtId="0" xfId="0" applyAlignment="1" applyBorder="1" applyFont="1">
      <alignment horizontal="center"/>
    </xf>
    <xf borderId="28" fillId="0" fontId="2" numFmtId="0" xfId="0" applyBorder="1" applyFont="1"/>
    <xf borderId="29" fillId="0" fontId="2" numFmtId="0" xfId="0" applyBorder="1" applyFont="1"/>
    <xf borderId="17" fillId="0" fontId="7" numFmtId="0" xfId="0" applyAlignment="1" applyBorder="1" applyFont="1">
      <alignment horizontal="left" shrinkToFit="0" wrapText="1"/>
    </xf>
    <xf borderId="17" fillId="0" fontId="7" numFmtId="0" xfId="0" applyAlignment="1" applyBorder="1" applyFont="1">
      <alignment horizontal="center" shrinkToFit="0" wrapText="1"/>
    </xf>
    <xf borderId="18" fillId="0" fontId="7" numFmtId="0" xfId="0" applyAlignment="1" applyBorder="1" applyFont="1">
      <alignment horizontal="center" shrinkToFit="0" wrapText="1"/>
    </xf>
    <xf borderId="19" fillId="0" fontId="7" numFmtId="2" xfId="0" applyAlignment="1" applyBorder="1" applyFont="1" applyNumberFormat="1">
      <alignment horizontal="center" shrinkToFit="0" wrapText="1"/>
    </xf>
    <xf borderId="17" fillId="2" fontId="7" numFmtId="0" xfId="0" applyAlignment="1" applyBorder="1" applyFont="1">
      <alignment horizontal="left" shrinkToFit="0" wrapText="1"/>
    </xf>
    <xf borderId="17" fillId="2" fontId="7" numFmtId="0" xfId="0" applyAlignment="1" applyBorder="1" applyFont="1">
      <alignment horizontal="center" shrinkToFit="0" wrapText="1"/>
    </xf>
    <xf borderId="18" fillId="2" fontId="7" numFmtId="0" xfId="0" applyAlignment="1" applyBorder="1" applyFont="1">
      <alignment horizontal="center" shrinkToFit="0" wrapText="1"/>
    </xf>
    <xf borderId="19" fillId="2" fontId="4" numFmtId="2" xfId="0" applyAlignment="1" applyBorder="1" applyFont="1" applyNumberFormat="1">
      <alignment horizontal="center" shrinkToFit="0" vertical="center" wrapText="1"/>
    </xf>
    <xf borderId="17" fillId="3" fontId="4" numFmtId="0" xfId="0" applyBorder="1" applyFont="1"/>
    <xf borderId="17" fillId="3" fontId="4" numFmtId="0" xfId="0" applyAlignment="1" applyBorder="1" applyFont="1">
      <alignment horizontal="center" vertical="center"/>
    </xf>
    <xf borderId="18" fillId="3" fontId="4" numFmtId="0" xfId="0" applyAlignment="1" applyBorder="1" applyFont="1">
      <alignment horizontal="center" vertical="center"/>
    </xf>
    <xf borderId="19" fillId="3" fontId="4" numFmtId="2" xfId="0" applyAlignment="1" applyBorder="1" applyFont="1" applyNumberFormat="1">
      <alignment horizontal="center" shrinkToFit="0" vertical="center" wrapText="1"/>
    </xf>
    <xf borderId="17" fillId="0" fontId="6" numFmtId="0" xfId="0" applyAlignment="1" applyBorder="1" applyFont="1">
      <alignment horizontal="left" shrinkToFit="0" wrapText="1"/>
    </xf>
    <xf borderId="17" fillId="0" fontId="6" numFmtId="0" xfId="0" applyAlignment="1" applyBorder="1" applyFont="1">
      <alignment horizontal="center" shrinkToFit="0" wrapText="1"/>
    </xf>
    <xf borderId="18" fillId="0" fontId="6" numFmtId="0" xfId="0" applyAlignment="1" applyBorder="1" applyFont="1">
      <alignment horizontal="center" shrinkToFit="0" wrapText="1"/>
    </xf>
    <xf borderId="19" fillId="0" fontId="9" numFmtId="2" xfId="0" applyAlignment="1" applyBorder="1" applyFont="1" applyNumberFormat="1">
      <alignment horizontal="center" shrinkToFit="0" vertical="center" wrapText="1"/>
    </xf>
    <xf borderId="17" fillId="2" fontId="4" numFmtId="0" xfId="0" applyAlignment="1" applyBorder="1" applyFont="1">
      <alignment shrinkToFit="0" vertical="center" wrapText="1"/>
    </xf>
    <xf borderId="26" fillId="0" fontId="7" numFmtId="0" xfId="0" applyAlignment="1" applyBorder="1" applyFont="1">
      <alignment horizontal="center" shrinkToFit="0" vertical="center" wrapText="1"/>
    </xf>
    <xf borderId="24" fillId="0" fontId="7" numFmtId="0" xfId="0" applyAlignment="1" applyBorder="1" applyFont="1">
      <alignment horizontal="center" shrinkToFit="0" vertical="center" wrapText="1"/>
    </xf>
    <xf borderId="24" fillId="0" fontId="4" numFmtId="0" xfId="0" applyAlignment="1" applyBorder="1" applyFont="1">
      <alignment vertical="top"/>
    </xf>
    <xf borderId="27" fillId="0" fontId="10" numFmtId="0" xfId="0" applyAlignment="1" applyBorder="1" applyFont="1">
      <alignment horizontal="center" vertical="center"/>
    </xf>
    <xf borderId="19" fillId="0" fontId="6" numFmtId="0" xfId="0" applyAlignment="1" applyBorder="1" applyFont="1">
      <alignment horizontal="center" shrinkToFit="0" wrapText="1"/>
    </xf>
    <xf borderId="19" fillId="0" fontId="7" numFmtId="0" xfId="0" applyAlignment="1" applyBorder="1" applyFont="1">
      <alignment horizontal="center" shrinkToFit="0" vertical="center" wrapText="1"/>
    </xf>
    <xf borderId="17" fillId="5" fontId="7" numFmtId="0" xfId="0" applyAlignment="1" applyBorder="1" applyFill="1" applyFont="1">
      <alignment horizontal="left" shrinkToFit="0" wrapText="1"/>
    </xf>
    <xf borderId="17" fillId="5" fontId="7" numFmtId="0" xfId="0" applyAlignment="1" applyBorder="1" applyFont="1">
      <alignment horizontal="center" shrinkToFit="0" vertical="center" wrapText="1"/>
    </xf>
    <xf borderId="18" fillId="5" fontId="7" numFmtId="0" xfId="0" applyAlignment="1" applyBorder="1" applyFont="1">
      <alignment horizontal="center" shrinkToFit="0" vertical="center" wrapText="1"/>
    </xf>
    <xf borderId="19" fillId="5" fontId="11" numFmtId="0" xfId="0" applyAlignment="1" applyBorder="1" applyFont="1">
      <alignment horizontal="center" shrinkToFit="0" vertical="center" wrapText="1"/>
    </xf>
    <xf borderId="17" fillId="6" fontId="4" numFmtId="0" xfId="0" applyBorder="1" applyFill="1" applyFont="1"/>
    <xf borderId="17" fillId="6" fontId="4" numFmtId="0" xfId="0" applyAlignment="1" applyBorder="1" applyFont="1">
      <alignment horizontal="center" vertical="center"/>
    </xf>
    <xf borderId="18" fillId="6" fontId="4" numFmtId="0" xfId="0" applyAlignment="1" applyBorder="1" applyFont="1">
      <alignment horizontal="center" vertical="center"/>
    </xf>
    <xf borderId="19" fillId="6" fontId="11" numFmtId="0" xfId="0" applyAlignment="1" applyBorder="1" applyFont="1">
      <alignment horizontal="center" shrinkToFit="0" vertical="center" wrapText="1"/>
    </xf>
    <xf borderId="19" fillId="0" fontId="8" numFmtId="0" xfId="0" applyAlignment="1" applyBorder="1" applyFont="1">
      <alignment horizontal="center" shrinkToFit="0" vertical="center" wrapText="1"/>
    </xf>
    <xf borderId="17" fillId="5" fontId="4" numFmtId="0" xfId="0" applyAlignment="1" applyBorder="1" applyFont="1">
      <alignment shrinkToFit="0" vertical="center" wrapText="1"/>
    </xf>
    <xf borderId="26" fillId="0" fontId="7" numFmtId="0" xfId="0" applyAlignment="1" applyBorder="1" applyFont="1">
      <alignment horizontal="center" shrinkToFit="0" wrapText="1"/>
    </xf>
    <xf borderId="24" fillId="0" fontId="7" numFmtId="0" xfId="0" applyAlignment="1" applyBorder="1" applyFont="1">
      <alignment horizontal="center" shrinkToFit="0" wrapText="1"/>
    </xf>
    <xf borderId="22" fillId="4" fontId="7" numFmtId="0" xfId="0" applyAlignment="1" applyBorder="1" applyFont="1">
      <alignment horizontal="center" shrinkToFit="0" wrapText="1"/>
    </xf>
    <xf borderId="27" fillId="0" fontId="1" numFmtId="0" xfId="0" applyAlignment="1" applyBorder="1" applyFont="1">
      <alignment horizontal="center" vertical="center"/>
    </xf>
    <xf borderId="17" fillId="0" fontId="4" numFmtId="0" xfId="0" applyBorder="1" applyFont="1"/>
    <xf borderId="17" fillId="0" fontId="4" numFmtId="0" xfId="0" applyAlignment="1" applyBorder="1" applyFont="1">
      <alignment horizontal="center"/>
    </xf>
    <xf borderId="3" fillId="0" fontId="4" numFmtId="0" xfId="0" applyBorder="1" applyFont="1"/>
    <xf borderId="15" fillId="0" fontId="4" numFmtId="0" xfId="0" applyAlignment="1" applyBorder="1" applyFont="1">
      <alignment vertical="center"/>
    </xf>
    <xf borderId="17" fillId="7" fontId="7" numFmtId="0" xfId="0" applyAlignment="1" applyBorder="1" applyFill="1" applyFont="1">
      <alignment horizontal="left" shrinkToFit="0" vertical="center" wrapText="1"/>
    </xf>
    <xf borderId="17" fillId="7" fontId="7" numFmtId="0" xfId="0" applyAlignment="1" applyBorder="1" applyFont="1">
      <alignment horizontal="center" shrinkToFit="0" vertical="center" wrapText="1"/>
    </xf>
    <xf borderId="18" fillId="7" fontId="7" numFmtId="0" xfId="0" applyAlignment="1" applyBorder="1" applyFont="1">
      <alignment horizontal="center" shrinkToFit="0" vertical="center" wrapText="1"/>
    </xf>
    <xf borderId="19" fillId="7" fontId="4" numFmtId="0" xfId="0" applyAlignment="1" applyBorder="1" applyFont="1">
      <alignment horizontal="center" shrinkToFit="0" vertical="center" wrapText="1"/>
    </xf>
    <xf borderId="17" fillId="8" fontId="4" numFmtId="0" xfId="0" applyAlignment="1" applyBorder="1" applyFill="1" applyFont="1">
      <alignment vertical="center"/>
    </xf>
    <xf borderId="17" fillId="8" fontId="4" numFmtId="0" xfId="0" applyAlignment="1" applyBorder="1" applyFont="1">
      <alignment horizontal="center" vertical="center"/>
    </xf>
    <xf borderId="18" fillId="8" fontId="4" numFmtId="0" xfId="0" applyAlignment="1" applyBorder="1" applyFont="1">
      <alignment horizontal="center" vertical="center"/>
    </xf>
    <xf borderId="19" fillId="8" fontId="4" numFmtId="0" xfId="0" applyAlignment="1" applyBorder="1" applyFont="1">
      <alignment horizontal="center" shrinkToFit="0" vertical="center" wrapText="1"/>
    </xf>
    <xf borderId="17" fillId="0" fontId="6" numFmtId="0" xfId="0" applyAlignment="1" applyBorder="1" applyFont="1">
      <alignment horizontal="left" shrinkToFit="0" vertical="center" wrapText="1"/>
    </xf>
    <xf borderId="19" fillId="0" fontId="9" numFmtId="0" xfId="0" applyAlignment="1" applyBorder="1" applyFont="1">
      <alignment horizontal="center" shrinkToFit="0" vertical="center" wrapText="1"/>
    </xf>
    <xf borderId="17" fillId="7" fontId="4" numFmtId="0" xfId="0" applyAlignment="1" applyBorder="1" applyFont="1">
      <alignment shrinkToFit="0" vertical="center" wrapText="1"/>
    </xf>
    <xf borderId="30" fillId="0" fontId="4" numFmtId="0" xfId="0" applyAlignment="1" applyBorder="1" applyFont="1">
      <alignment vertical="top"/>
    </xf>
    <xf borderId="31" fillId="0" fontId="2" numFmtId="0" xfId="0" applyBorder="1" applyFont="1"/>
    <xf borderId="1" fillId="0" fontId="1" numFmtId="0" xfId="0" applyAlignment="1" applyBorder="1" applyFont="1">
      <alignment horizontal="center" vertical="center"/>
    </xf>
    <xf borderId="30" fillId="0" fontId="4" numFmtId="0" xfId="0" applyAlignment="1" applyBorder="1" applyFont="1">
      <alignment shrinkToFit="0" wrapText="1"/>
    </xf>
    <xf borderId="8" fillId="0" fontId="8" numFmtId="0" xfId="0" applyAlignment="1" applyBorder="1" applyFont="1">
      <alignment horizontal="center" shrinkToFit="0" vertical="center" wrapText="1"/>
    </xf>
    <xf borderId="8" fillId="0" fontId="11" numFmtId="0" xfId="0" applyAlignment="1" applyBorder="1" applyFont="1">
      <alignment horizontal="center" shrinkToFit="0" vertical="center" wrapText="1"/>
    </xf>
    <xf borderId="9" fillId="0" fontId="11" numFmtId="0" xfId="0" applyAlignment="1" applyBorder="1" applyFont="1">
      <alignment horizontal="center" shrinkToFit="0" vertical="center" wrapText="1"/>
    </xf>
    <xf borderId="10" fillId="0" fontId="11" numFmtId="0" xfId="0" applyAlignment="1" applyBorder="1" applyFont="1">
      <alignment horizontal="center" shrinkToFit="0" vertical="center" wrapText="1"/>
    </xf>
    <xf borderId="15" fillId="0" fontId="5" numFmtId="0" xfId="0" applyAlignment="1" applyBorder="1" applyFont="1">
      <alignment horizontal="center" vertical="center"/>
    </xf>
    <xf borderId="17" fillId="0" fontId="8" numFmtId="0" xfId="0" applyAlignment="1" applyBorder="1" applyFont="1">
      <alignment horizontal="center" shrinkToFit="0" vertical="center" wrapText="1"/>
    </xf>
    <xf borderId="18" fillId="0" fontId="8" numFmtId="0" xfId="0" applyAlignment="1" applyBorder="1" applyFont="1">
      <alignment horizontal="center" shrinkToFit="0" vertical="center" wrapText="1"/>
    </xf>
    <xf borderId="17" fillId="0" fontId="11" numFmtId="0" xfId="0" applyAlignment="1" applyBorder="1" applyFont="1">
      <alignment horizontal="left" shrinkToFit="0" wrapText="1"/>
    </xf>
    <xf borderId="17" fillId="0" fontId="11" numFmtId="0" xfId="0" applyAlignment="1" applyBorder="1" applyFont="1">
      <alignment horizontal="center" shrinkToFit="0" vertical="center" wrapText="1"/>
    </xf>
    <xf borderId="18" fillId="0" fontId="11" numFmtId="0" xfId="0" applyAlignment="1" applyBorder="1" applyFont="1">
      <alignment horizontal="center" shrinkToFit="0" vertical="center" wrapText="1"/>
    </xf>
    <xf borderId="19" fillId="0" fontId="11" numFmtId="0" xfId="0" applyAlignment="1" applyBorder="1" applyFont="1">
      <alignment horizontal="center" shrinkToFit="0" vertical="center" wrapText="1"/>
    </xf>
    <xf borderId="17" fillId="4" fontId="11" numFmtId="0" xfId="0" applyAlignment="1" applyBorder="1" applyFont="1">
      <alignment horizontal="left" shrinkToFit="0" wrapText="1"/>
    </xf>
    <xf borderId="17" fillId="4" fontId="11" numFmtId="0" xfId="0" applyAlignment="1" applyBorder="1" applyFont="1">
      <alignment horizontal="center" shrinkToFit="0" vertical="center" wrapText="1"/>
    </xf>
    <xf borderId="18" fillId="4" fontId="11" numFmtId="0" xfId="0" applyAlignment="1" applyBorder="1" applyFont="1">
      <alignment horizontal="center" shrinkToFit="0" vertical="center" wrapText="1"/>
    </xf>
    <xf borderId="19" fillId="4" fontId="11" numFmtId="0" xfId="0" applyAlignment="1" applyBorder="1" applyFont="1">
      <alignment horizontal="center" shrinkToFit="0" vertical="center" wrapText="1"/>
    </xf>
    <xf borderId="17" fillId="9" fontId="5" numFmtId="0" xfId="0" applyBorder="1" applyFill="1" applyFont="1"/>
    <xf borderId="17" fillId="9" fontId="5" numFmtId="0" xfId="0" applyAlignment="1" applyBorder="1" applyFont="1">
      <alignment horizontal="center" vertical="center"/>
    </xf>
    <xf borderId="18" fillId="9" fontId="5" numFmtId="0" xfId="0" applyAlignment="1" applyBorder="1" applyFont="1">
      <alignment horizontal="center" vertical="center"/>
    </xf>
    <xf borderId="19" fillId="9" fontId="5" numFmtId="0" xfId="0" applyAlignment="1" applyBorder="1" applyFont="1">
      <alignment horizontal="center" vertical="center"/>
    </xf>
    <xf borderId="17" fillId="0" fontId="8" numFmtId="0" xfId="0" applyAlignment="1" applyBorder="1" applyFont="1">
      <alignment horizontal="left" shrinkToFit="0" wrapText="1"/>
    </xf>
    <xf borderId="17" fillId="4" fontId="5" numFmtId="0" xfId="0" applyAlignment="1" applyBorder="1" applyFont="1">
      <alignment shrinkToFit="0" vertical="center" wrapText="1"/>
    </xf>
    <xf borderId="26" fillId="0" fontId="11" numFmtId="0" xfId="0" applyAlignment="1" applyBorder="1" applyFont="1">
      <alignment horizontal="center" shrinkToFit="0" vertical="center" wrapText="1"/>
    </xf>
    <xf borderId="24" fillId="0" fontId="11" numFmtId="0" xfId="0" applyAlignment="1" applyBorder="1" applyFont="1">
      <alignment horizontal="center" shrinkToFit="0" vertical="center" wrapText="1"/>
    </xf>
    <xf borderId="22" fillId="4" fontId="11" numFmtId="0" xfId="0" applyAlignment="1" applyBorder="1" applyFont="1">
      <alignment horizontal="center" shrinkToFit="0" vertical="center" wrapText="1"/>
    </xf>
    <xf borderId="5" fillId="0" fontId="1" numFmtId="0" xfId="0" applyAlignment="1" applyBorder="1" applyFont="1">
      <alignment horizontal="center" vertical="center"/>
    </xf>
    <xf borderId="17" fillId="0" fontId="4" numFmtId="2" xfId="0" applyBorder="1" applyFont="1" applyNumberFormat="1"/>
    <xf borderId="17" fillId="10" fontId="12" numFmtId="0" xfId="0" applyAlignment="1" applyBorder="1" applyFill="1" applyFont="1">
      <alignment horizontal="left" shrinkToFit="0" wrapText="1"/>
    </xf>
    <xf borderId="17" fillId="10" fontId="12" numFmtId="0" xfId="0" applyAlignment="1" applyBorder="1" applyFont="1">
      <alignment horizontal="center" shrinkToFit="0" vertical="center" wrapText="1"/>
    </xf>
    <xf borderId="18" fillId="10" fontId="12" numFmtId="0" xfId="0" applyAlignment="1" applyBorder="1" applyFont="1">
      <alignment horizontal="center" shrinkToFit="0" vertical="center" wrapText="1"/>
    </xf>
    <xf borderId="19" fillId="10" fontId="4" numFmtId="0" xfId="0" applyAlignment="1" applyBorder="1" applyFont="1">
      <alignment horizontal="center" shrinkToFit="0" vertical="center" wrapText="1"/>
    </xf>
    <xf borderId="17" fillId="10" fontId="7" numFmtId="0" xfId="0" applyAlignment="1" applyBorder="1" applyFont="1">
      <alignment horizontal="left" shrinkToFit="0" wrapText="1"/>
    </xf>
    <xf borderId="17" fillId="10" fontId="7" numFmtId="0" xfId="0" applyAlignment="1" applyBorder="1" applyFont="1">
      <alignment horizontal="center" shrinkToFit="0" vertical="center" wrapText="1"/>
    </xf>
    <xf borderId="18" fillId="10" fontId="7" numFmtId="0" xfId="0" applyAlignment="1" applyBorder="1" applyFont="1">
      <alignment horizontal="center" shrinkToFit="0" vertical="center" wrapText="1"/>
    </xf>
    <xf borderId="32" fillId="0" fontId="7" numFmtId="0" xfId="0" applyAlignment="1" applyBorder="1" applyFont="1">
      <alignment horizontal="center" shrinkToFit="0" vertical="center" wrapText="1"/>
    </xf>
    <xf borderId="33" fillId="0" fontId="2" numFmtId="0" xfId="0" applyBorder="1" applyFont="1"/>
    <xf borderId="34" fillId="0" fontId="2" numFmtId="0" xfId="0" applyBorder="1" applyFont="1"/>
    <xf borderId="35" fillId="0" fontId="2" numFmtId="0" xfId="0" applyBorder="1" applyFont="1"/>
    <xf borderId="17" fillId="11" fontId="4" numFmtId="0" xfId="0" applyBorder="1" applyFill="1" applyFont="1"/>
    <xf borderId="17" fillId="11" fontId="4" numFmtId="0" xfId="0" applyAlignment="1" applyBorder="1" applyFont="1">
      <alignment horizontal="center" vertical="center"/>
    </xf>
    <xf borderId="18" fillId="11" fontId="4" numFmtId="0" xfId="0" applyAlignment="1" applyBorder="1" applyFont="1">
      <alignment horizontal="center" vertical="center"/>
    </xf>
    <xf borderId="19" fillId="11" fontId="4" numFmtId="0" xfId="0" applyAlignment="1" applyBorder="1" applyFont="1">
      <alignment horizontal="center" shrinkToFit="0" vertical="center" wrapText="1"/>
    </xf>
    <xf borderId="17" fillId="10" fontId="5" numFmtId="0" xfId="0" applyAlignment="1" applyBorder="1" applyFont="1">
      <alignment shrinkToFit="0" vertical="center" wrapText="1"/>
    </xf>
    <xf borderId="30" fillId="12" fontId="7" numFmtId="0" xfId="0" applyAlignment="1" applyBorder="1" applyFill="1" applyFont="1">
      <alignment horizontal="left"/>
    </xf>
    <xf borderId="17" fillId="12" fontId="6" numFmtId="0" xfId="0" applyAlignment="1" applyBorder="1" applyFont="1">
      <alignment horizontal="center" vertical="center"/>
    </xf>
    <xf borderId="17" fillId="0" fontId="9" numFmtId="0" xfId="0" applyAlignment="1" applyBorder="1" applyFont="1">
      <alignment horizontal="center" shrinkToFit="0" vertical="center" wrapText="1"/>
    </xf>
    <xf borderId="3" fillId="0" fontId="4" numFmtId="0" xfId="0" applyAlignment="1" applyBorder="1" applyFont="1">
      <alignment shrinkToFit="0" vertical="top" wrapText="1"/>
    </xf>
    <xf borderId="4" fillId="0" fontId="4" numFmtId="0" xfId="0" applyAlignment="1" applyBorder="1" applyFont="1">
      <alignment shrinkToFit="0" vertical="top" wrapText="1"/>
    </xf>
    <xf borderId="17" fillId="0" fontId="4" numFmtId="0" xfId="0" applyAlignment="1" applyBorder="1" applyFont="1">
      <alignment horizontal="left" shrinkToFit="0" vertical="center" wrapText="1"/>
    </xf>
    <xf borderId="8" fillId="0" fontId="4" numFmtId="0" xfId="0" applyAlignment="1" applyBorder="1" applyFont="1">
      <alignment horizontal="left" shrinkToFit="0" vertical="center" wrapText="1"/>
    </xf>
    <xf borderId="17" fillId="0" fontId="4" numFmtId="0" xfId="0" applyAlignment="1" applyBorder="1" applyFont="1">
      <alignment shrinkToFit="0" vertical="center" wrapText="1"/>
    </xf>
    <xf borderId="30" fillId="0" fontId="4" numFmtId="0" xfId="0" applyAlignment="1" applyBorder="1" applyFont="1">
      <alignment shrinkToFit="0" vertical="top" wrapText="1"/>
    </xf>
    <xf borderId="17" fillId="0" fontId="9" numFmtId="0" xfId="0" applyBorder="1" applyFont="1"/>
    <xf borderId="17" fillId="0" fontId="4" numFmtId="164" xfId="0" applyAlignment="1" applyBorder="1" applyFont="1" applyNumberFormat="1">
      <alignment horizontal="right"/>
    </xf>
    <xf borderId="17" fillId="0" fontId="13"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0"/>
  <cols>
    <col customWidth="1" min="1" max="1" width="25.13"/>
    <col customWidth="1" min="4" max="4" width="4.13"/>
    <col customWidth="1" min="5" max="5" width="8.25"/>
  </cols>
  <sheetData>
    <row r="1">
      <c r="A1" s="1" t="s">
        <v>0</v>
      </c>
      <c r="B1" s="2"/>
      <c r="C1" s="2"/>
      <c r="D1" s="2"/>
      <c r="E1" s="3"/>
    </row>
    <row r="2" ht="35.25" customHeight="1">
      <c r="A2" s="4" t="s">
        <v>1</v>
      </c>
      <c r="B2" s="5"/>
      <c r="C2" s="5"/>
      <c r="D2" s="5"/>
      <c r="E2" s="5"/>
    </row>
    <row r="3">
      <c r="A3" s="6" t="s">
        <v>2</v>
      </c>
      <c r="B3" s="2"/>
      <c r="C3" s="2"/>
      <c r="D3" s="2"/>
      <c r="E3" s="3"/>
    </row>
    <row r="4">
      <c r="A4" s="7" t="s">
        <v>3</v>
      </c>
      <c r="B4" s="8"/>
      <c r="C4" s="8"/>
      <c r="D4" s="8"/>
      <c r="E4" s="9"/>
    </row>
    <row r="5">
      <c r="A5" s="10" t="s">
        <v>4</v>
      </c>
      <c r="B5" s="11" t="s">
        <v>5</v>
      </c>
      <c r="C5" s="12" t="s">
        <v>6</v>
      </c>
      <c r="D5" s="13" t="s">
        <v>7</v>
      </c>
      <c r="E5" s="14"/>
    </row>
    <row r="6">
      <c r="A6" s="15"/>
      <c r="B6" s="16"/>
      <c r="C6" s="17"/>
      <c r="D6" s="18" t="s">
        <v>8</v>
      </c>
      <c r="E6" s="19">
        <v>28.0</v>
      </c>
    </row>
    <row r="7">
      <c r="A7" s="16"/>
      <c r="B7" s="20" t="s">
        <v>9</v>
      </c>
      <c r="C7" s="21" t="s">
        <v>9</v>
      </c>
      <c r="D7" s="22" t="s">
        <v>9</v>
      </c>
      <c r="E7" s="23"/>
    </row>
    <row r="8">
      <c r="A8" s="24" t="s">
        <v>10</v>
      </c>
      <c r="B8" s="25">
        <v>3.5</v>
      </c>
      <c r="C8" s="26">
        <v>1.75</v>
      </c>
      <c r="D8" s="27"/>
      <c r="E8" s="23"/>
    </row>
    <row r="9">
      <c r="A9" s="28" t="s">
        <v>11</v>
      </c>
      <c r="B9" s="29">
        <v>0.5</v>
      </c>
      <c r="C9" s="30">
        <v>0.25</v>
      </c>
      <c r="D9" s="31">
        <f t="shared" ref="D9:D12" si="1">C9*$E$6</f>
        <v>7</v>
      </c>
      <c r="E9" s="23"/>
    </row>
    <row r="10">
      <c r="A10" s="28" t="s">
        <v>12</v>
      </c>
      <c r="B10" s="29">
        <v>4.0</v>
      </c>
      <c r="C10" s="30">
        <v>2.0</v>
      </c>
      <c r="D10" s="31">
        <f t="shared" si="1"/>
        <v>56</v>
      </c>
      <c r="E10" s="23"/>
    </row>
    <row r="11">
      <c r="A11" s="28" t="s">
        <v>13</v>
      </c>
      <c r="B11" s="29">
        <v>1.0</v>
      </c>
      <c r="C11" s="30">
        <v>0.5</v>
      </c>
      <c r="D11" s="31">
        <f t="shared" si="1"/>
        <v>14</v>
      </c>
      <c r="E11" s="23"/>
    </row>
    <row r="12">
      <c r="A12" s="28" t="s">
        <v>14</v>
      </c>
      <c r="B12" s="29">
        <v>1.0</v>
      </c>
      <c r="C12" s="30">
        <v>0.5</v>
      </c>
      <c r="D12" s="31">
        <f t="shared" si="1"/>
        <v>14</v>
      </c>
      <c r="E12" s="23"/>
    </row>
    <row r="13">
      <c r="A13" s="32" t="s">
        <v>15</v>
      </c>
      <c r="B13" s="33">
        <f t="shared" ref="B13:C13" si="2">sum(B9:B12)</f>
        <v>6.5</v>
      </c>
      <c r="C13" s="34">
        <f t="shared" si="2"/>
        <v>3.25</v>
      </c>
      <c r="D13" s="35">
        <f>sum(D9:E12)</f>
        <v>91</v>
      </c>
      <c r="E13" s="23"/>
    </row>
    <row r="14">
      <c r="A14" s="36" t="s">
        <v>16</v>
      </c>
      <c r="B14" s="37">
        <f t="shared" ref="B14:C14" si="3">sum(B8:B12)</f>
        <v>10</v>
      </c>
      <c r="C14" s="38">
        <f t="shared" si="3"/>
        <v>5</v>
      </c>
      <c r="D14" s="39"/>
      <c r="E14" s="23"/>
    </row>
    <row r="15">
      <c r="A15" s="40" t="s">
        <v>17</v>
      </c>
      <c r="B15" s="41"/>
      <c r="C15" s="42"/>
      <c r="D15" s="43" t="s">
        <v>18</v>
      </c>
      <c r="E15" s="44"/>
    </row>
    <row r="16" ht="311.25" customHeight="1">
      <c r="A16" s="45" t="s">
        <v>19</v>
      </c>
      <c r="B16" s="46"/>
      <c r="C16" s="46"/>
      <c r="D16" s="46"/>
      <c r="E16" s="47"/>
    </row>
    <row r="17">
      <c r="A17" s="48" t="s">
        <v>20</v>
      </c>
      <c r="B17" s="49"/>
      <c r="C17" s="49"/>
      <c r="D17" s="49"/>
      <c r="E17" s="50"/>
    </row>
    <row r="18">
      <c r="A18" s="10" t="s">
        <v>4</v>
      </c>
      <c r="B18" s="11" t="s">
        <v>5</v>
      </c>
      <c r="C18" s="12" t="s">
        <v>6</v>
      </c>
      <c r="D18" s="13" t="s">
        <v>7</v>
      </c>
      <c r="E18" s="14"/>
    </row>
    <row r="19">
      <c r="A19" s="15"/>
      <c r="B19" s="16"/>
      <c r="C19" s="17"/>
      <c r="D19" s="18" t="s">
        <v>8</v>
      </c>
      <c r="E19" s="19">
        <v>28.0</v>
      </c>
    </row>
    <row r="20">
      <c r="A20" s="16"/>
      <c r="B20" s="20" t="s">
        <v>9</v>
      </c>
      <c r="C20" s="21" t="s">
        <v>9</v>
      </c>
      <c r="D20" s="22" t="s">
        <v>9</v>
      </c>
      <c r="E20" s="23"/>
    </row>
    <row r="21">
      <c r="A21" s="51" t="s">
        <v>21</v>
      </c>
      <c r="B21" s="52">
        <v>10.0</v>
      </c>
      <c r="C21" s="53">
        <v>5.0</v>
      </c>
      <c r="D21" s="54" t="s">
        <v>22</v>
      </c>
      <c r="E21" s="23"/>
    </row>
    <row r="22">
      <c r="A22" s="55" t="s">
        <v>23</v>
      </c>
      <c r="B22" s="56">
        <v>8.0</v>
      </c>
      <c r="C22" s="57">
        <v>4.0</v>
      </c>
      <c r="D22" s="58">
        <f t="shared" ref="D22:D23" si="4">C22*$E$19</f>
        <v>112</v>
      </c>
      <c r="E22" s="23"/>
    </row>
    <row r="23">
      <c r="A23" s="55" t="s">
        <v>24</v>
      </c>
      <c r="B23" s="56">
        <v>2.0</v>
      </c>
      <c r="C23" s="57">
        <v>1.0</v>
      </c>
      <c r="D23" s="58">
        <f t="shared" si="4"/>
        <v>28</v>
      </c>
      <c r="E23" s="23"/>
    </row>
    <row r="24">
      <c r="A24" s="59" t="s">
        <v>15</v>
      </c>
      <c r="B24" s="60">
        <f t="shared" ref="B24:C24" si="5">sum(B22:B23)</f>
        <v>10</v>
      </c>
      <c r="C24" s="61">
        <f t="shared" si="5"/>
        <v>5</v>
      </c>
      <c r="D24" s="62">
        <f>SUM(D21:D23)</f>
        <v>140</v>
      </c>
      <c r="E24" s="23"/>
    </row>
    <row r="25">
      <c r="A25" s="63" t="s">
        <v>16</v>
      </c>
      <c r="B25" s="64">
        <v>20.0</v>
      </c>
      <c r="C25" s="65">
        <v>10.0</v>
      </c>
      <c r="D25" s="66"/>
      <c r="E25" s="23"/>
    </row>
    <row r="26">
      <c r="A26" s="67" t="s">
        <v>17</v>
      </c>
      <c r="B26" s="68"/>
      <c r="C26" s="69"/>
      <c r="D26" s="43" t="s">
        <v>25</v>
      </c>
      <c r="E26" s="44"/>
    </row>
    <row r="27" ht="111.0" customHeight="1">
      <c r="A27" s="70" t="s">
        <v>26</v>
      </c>
      <c r="B27" s="46"/>
      <c r="C27" s="46"/>
      <c r="D27" s="46"/>
      <c r="E27" s="47"/>
    </row>
    <row r="28">
      <c r="A28" s="71" t="s">
        <v>27</v>
      </c>
      <c r="B28" s="49"/>
      <c r="C28" s="49"/>
      <c r="D28" s="49"/>
      <c r="E28" s="50"/>
    </row>
    <row r="29">
      <c r="A29" s="10" t="s">
        <v>4</v>
      </c>
      <c r="B29" s="11" t="s">
        <v>5</v>
      </c>
      <c r="C29" s="12" t="s">
        <v>6</v>
      </c>
      <c r="D29" s="13" t="s">
        <v>7</v>
      </c>
      <c r="E29" s="14"/>
    </row>
    <row r="30">
      <c r="A30" s="15"/>
      <c r="B30" s="16"/>
      <c r="C30" s="17"/>
      <c r="D30" s="18" t="s">
        <v>8</v>
      </c>
      <c r="E30" s="19">
        <v>28.0</v>
      </c>
    </row>
    <row r="31">
      <c r="A31" s="16"/>
      <c r="B31" s="64" t="s">
        <v>28</v>
      </c>
      <c r="C31" s="65" t="s">
        <v>28</v>
      </c>
      <c r="D31" s="72" t="s">
        <v>28</v>
      </c>
      <c r="E31" s="23"/>
    </row>
    <row r="32">
      <c r="A32" s="51" t="s">
        <v>29</v>
      </c>
      <c r="B32" s="25">
        <v>20.0</v>
      </c>
      <c r="C32" s="26">
        <v>10.0</v>
      </c>
      <c r="D32" s="73"/>
      <c r="E32" s="23"/>
    </row>
    <row r="33">
      <c r="A33" s="74" t="s">
        <v>30</v>
      </c>
      <c r="B33" s="75">
        <v>8.0</v>
      </c>
      <c r="C33" s="76">
        <v>4.0</v>
      </c>
      <c r="D33" s="77">
        <f t="shared" ref="D33:D35" si="6">C33*$E$30</f>
        <v>112</v>
      </c>
      <c r="E33" s="23"/>
    </row>
    <row r="34">
      <c r="A34" s="74" t="s">
        <v>31</v>
      </c>
      <c r="B34" s="75">
        <v>4.0</v>
      </c>
      <c r="C34" s="76">
        <v>2.0</v>
      </c>
      <c r="D34" s="77">
        <f t="shared" si="6"/>
        <v>56</v>
      </c>
      <c r="E34" s="23"/>
    </row>
    <row r="35">
      <c r="A35" s="74" t="s">
        <v>23</v>
      </c>
      <c r="B35" s="75">
        <v>48.0</v>
      </c>
      <c r="C35" s="76">
        <v>24.0</v>
      </c>
      <c r="D35" s="77">
        <f t="shared" si="6"/>
        <v>672</v>
      </c>
      <c r="E35" s="23"/>
    </row>
    <row r="36">
      <c r="A36" s="78" t="s">
        <v>15</v>
      </c>
      <c r="B36" s="79">
        <f t="shared" ref="B36:C36" si="7">sum(B33:B35)</f>
        <v>60</v>
      </c>
      <c r="C36" s="80">
        <f t="shared" si="7"/>
        <v>30</v>
      </c>
      <c r="D36" s="81">
        <f>SUM(D33:D35)</f>
        <v>840</v>
      </c>
      <c r="E36" s="23"/>
    </row>
    <row r="37">
      <c r="A37" s="63" t="s">
        <v>16</v>
      </c>
      <c r="B37" s="20">
        <v>80.0</v>
      </c>
      <c r="C37" s="21">
        <v>40.0</v>
      </c>
      <c r="D37" s="82"/>
      <c r="E37" s="23"/>
    </row>
    <row r="38">
      <c r="A38" s="83" t="s">
        <v>32</v>
      </c>
      <c r="B38" s="84"/>
      <c r="C38" s="85"/>
      <c r="D38" s="86" t="s">
        <v>33</v>
      </c>
      <c r="E38" s="44"/>
    </row>
    <row r="39" ht="198.75" customHeight="1">
      <c r="A39" s="70" t="s">
        <v>34</v>
      </c>
      <c r="B39" s="46"/>
      <c r="C39" s="46"/>
      <c r="D39" s="46"/>
      <c r="E39" s="47"/>
    </row>
    <row r="40">
      <c r="A40" s="87" t="s">
        <v>35</v>
      </c>
      <c r="B40" s="49"/>
      <c r="C40" s="49"/>
      <c r="D40" s="49"/>
      <c r="E40" s="50"/>
    </row>
    <row r="41" ht="15.75" customHeight="1">
      <c r="A41" s="88" t="s">
        <v>36</v>
      </c>
      <c r="B41" s="89">
        <v>1.8</v>
      </c>
      <c r="C41" s="88"/>
      <c r="D41" s="90"/>
      <c r="E41" s="5"/>
    </row>
    <row r="42" ht="15.75" customHeight="1">
      <c r="A42" s="88" t="s">
        <v>37</v>
      </c>
      <c r="B42" s="88">
        <v>40.0</v>
      </c>
      <c r="C42" s="88" t="s">
        <v>38</v>
      </c>
      <c r="D42" s="90"/>
      <c r="E42" s="5"/>
    </row>
    <row r="43" ht="15.75" customHeight="1">
      <c r="A43" s="88" t="s">
        <v>39</v>
      </c>
      <c r="B43" s="88">
        <f>C37*B41</f>
        <v>72</v>
      </c>
      <c r="C43" s="88" t="s">
        <v>38</v>
      </c>
      <c r="D43" s="90"/>
      <c r="E43" s="5"/>
    </row>
    <row r="44" ht="15.75" customHeight="1">
      <c r="A44" s="88" t="s">
        <v>40</v>
      </c>
      <c r="B44" s="88">
        <v>28.0</v>
      </c>
      <c r="C44" s="88" t="s">
        <v>38</v>
      </c>
      <c r="D44" s="90"/>
      <c r="E44" s="5"/>
    </row>
    <row r="45" ht="15.75" customHeight="1">
      <c r="A45" s="88" t="s">
        <v>41</v>
      </c>
      <c r="B45" s="88">
        <v>25.0</v>
      </c>
      <c r="C45" s="88" t="s">
        <v>38</v>
      </c>
      <c r="D45" s="90"/>
      <c r="E45" s="5"/>
    </row>
    <row r="46" ht="259.5" customHeight="1">
      <c r="A46" s="45" t="s">
        <v>42</v>
      </c>
      <c r="B46" s="46"/>
      <c r="C46" s="46"/>
      <c r="D46" s="46"/>
      <c r="E46" s="47"/>
    </row>
    <row r="47">
      <c r="A47" s="87" t="s">
        <v>43</v>
      </c>
      <c r="B47" s="49"/>
      <c r="C47" s="49"/>
      <c r="D47" s="49"/>
      <c r="E47" s="50"/>
    </row>
    <row r="48">
      <c r="A48" s="10" t="s">
        <v>4</v>
      </c>
      <c r="B48" s="11" t="s">
        <v>5</v>
      </c>
      <c r="C48" s="12" t="s">
        <v>6</v>
      </c>
      <c r="D48" s="13" t="s">
        <v>7</v>
      </c>
      <c r="E48" s="14"/>
    </row>
    <row r="49">
      <c r="A49" s="15"/>
      <c r="B49" s="16"/>
      <c r="C49" s="17"/>
      <c r="D49" s="91" t="s">
        <v>8</v>
      </c>
      <c r="E49" s="19">
        <v>28.0</v>
      </c>
    </row>
    <row r="50">
      <c r="A50" s="16"/>
      <c r="B50" s="20" t="s">
        <v>28</v>
      </c>
      <c r="C50" s="21" t="s">
        <v>28</v>
      </c>
      <c r="D50" s="22" t="s">
        <v>28</v>
      </c>
      <c r="E50" s="23"/>
    </row>
    <row r="51">
      <c r="A51" s="24" t="s">
        <v>44</v>
      </c>
      <c r="B51" s="25">
        <v>50.0</v>
      </c>
      <c r="C51" s="26">
        <v>25.0</v>
      </c>
      <c r="D51" s="73"/>
      <c r="E51" s="23"/>
    </row>
    <row r="52">
      <c r="A52" s="92" t="s">
        <v>45</v>
      </c>
      <c r="B52" s="93">
        <v>7.0</v>
      </c>
      <c r="C52" s="94">
        <v>3.5</v>
      </c>
      <c r="D52" s="95">
        <f t="shared" ref="D52:D53" si="8">C52*$E$49</f>
        <v>98</v>
      </c>
      <c r="E52" s="23"/>
    </row>
    <row r="53">
      <c r="A53" s="92" t="s">
        <v>46</v>
      </c>
      <c r="B53" s="93">
        <v>3.0</v>
      </c>
      <c r="C53" s="94">
        <v>1.5</v>
      </c>
      <c r="D53" s="95">
        <f t="shared" si="8"/>
        <v>42</v>
      </c>
      <c r="E53" s="23"/>
    </row>
    <row r="54">
      <c r="A54" s="96" t="s">
        <v>15</v>
      </c>
      <c r="B54" s="97">
        <f t="shared" ref="B54:C54" si="9">sum(B52:B53)</f>
        <v>10</v>
      </c>
      <c r="C54" s="98">
        <f t="shared" si="9"/>
        <v>5</v>
      </c>
      <c r="D54" s="99">
        <f>sum(D52:E53)</f>
        <v>140</v>
      </c>
      <c r="E54" s="23"/>
    </row>
    <row r="55">
      <c r="A55" s="100" t="s">
        <v>16</v>
      </c>
      <c r="B55" s="20">
        <v>60.0</v>
      </c>
      <c r="C55" s="21">
        <v>30.0</v>
      </c>
      <c r="D55" s="101"/>
      <c r="E55" s="23"/>
    </row>
    <row r="56">
      <c r="A56" s="102" t="s">
        <v>47</v>
      </c>
      <c r="B56" s="68"/>
      <c r="C56" s="69"/>
      <c r="D56" s="43" t="s">
        <v>48</v>
      </c>
      <c r="E56" s="44"/>
    </row>
    <row r="57" ht="146.25" customHeight="1">
      <c r="A57" s="103" t="s">
        <v>49</v>
      </c>
      <c r="E57" s="104"/>
    </row>
    <row r="58">
      <c r="A58" s="105" t="s">
        <v>50</v>
      </c>
      <c r="B58" s="2"/>
      <c r="C58" s="2"/>
      <c r="D58" s="2"/>
      <c r="E58" s="3"/>
    </row>
    <row r="59">
      <c r="A59" s="106" t="s">
        <v>51</v>
      </c>
      <c r="E59" s="104"/>
    </row>
    <row r="60" ht="15.75" customHeight="1">
      <c r="A60" s="107" t="s">
        <v>4</v>
      </c>
      <c r="B60" s="108" t="s">
        <v>5</v>
      </c>
      <c r="C60" s="109" t="s">
        <v>6</v>
      </c>
      <c r="D60" s="110" t="s">
        <v>7</v>
      </c>
      <c r="E60" s="14"/>
    </row>
    <row r="61" ht="15.75" customHeight="1">
      <c r="A61" s="15"/>
      <c r="B61" s="16"/>
      <c r="C61" s="17"/>
      <c r="D61" s="111" t="s">
        <v>8</v>
      </c>
      <c r="E61" s="19">
        <v>28.0</v>
      </c>
    </row>
    <row r="62" ht="15.75" customHeight="1">
      <c r="A62" s="16"/>
      <c r="B62" s="112" t="s">
        <v>28</v>
      </c>
      <c r="C62" s="113" t="s">
        <v>28</v>
      </c>
      <c r="D62" s="82" t="s">
        <v>28</v>
      </c>
      <c r="E62" s="23"/>
    </row>
    <row r="63" ht="15.75" customHeight="1">
      <c r="A63" s="114" t="s">
        <v>52</v>
      </c>
      <c r="B63" s="115">
        <v>60.0</v>
      </c>
      <c r="C63" s="116">
        <v>30.0</v>
      </c>
      <c r="D63" s="117"/>
      <c r="E63" s="23"/>
    </row>
    <row r="64" ht="15.75" customHeight="1">
      <c r="A64" s="118" t="s">
        <v>53</v>
      </c>
      <c r="B64" s="119">
        <v>30.0</v>
      </c>
      <c r="C64" s="120">
        <v>15.0</v>
      </c>
      <c r="D64" s="121">
        <f t="shared" ref="D64:D65" si="10">C64*$E$61</f>
        <v>420</v>
      </c>
      <c r="E64" s="23"/>
    </row>
    <row r="65" ht="15.75" customHeight="1">
      <c r="A65" s="118" t="s">
        <v>54</v>
      </c>
      <c r="B65" s="119">
        <v>1.0</v>
      </c>
      <c r="C65" s="120">
        <v>0.5</v>
      </c>
      <c r="D65" s="121">
        <f t="shared" si="10"/>
        <v>14</v>
      </c>
      <c r="E65" s="23"/>
    </row>
    <row r="66">
      <c r="A66" s="114" t="s">
        <v>55</v>
      </c>
      <c r="B66" s="115">
        <v>2.5</v>
      </c>
      <c r="C66" s="116">
        <v>1.25</v>
      </c>
      <c r="D66" s="117" t="s">
        <v>56</v>
      </c>
      <c r="E66" s="23"/>
    </row>
    <row r="67" ht="15.75" customHeight="1">
      <c r="A67" s="122" t="s">
        <v>15</v>
      </c>
      <c r="B67" s="123">
        <f t="shared" ref="B67:D67" si="11">sum(B64:B65)</f>
        <v>31</v>
      </c>
      <c r="C67" s="124">
        <f t="shared" si="11"/>
        <v>15.5</v>
      </c>
      <c r="D67" s="125">
        <f t="shared" si="11"/>
        <v>434</v>
      </c>
      <c r="E67" s="23"/>
    </row>
    <row r="68" ht="15.75" customHeight="1">
      <c r="A68" s="126" t="s">
        <v>16</v>
      </c>
      <c r="B68" s="112">
        <v>93.5</v>
      </c>
      <c r="C68" s="113">
        <v>46.75</v>
      </c>
      <c r="D68" s="82"/>
      <c r="E68" s="23"/>
    </row>
    <row r="69" ht="63.75" customHeight="1">
      <c r="A69" s="127" t="s">
        <v>57</v>
      </c>
      <c r="B69" s="128"/>
      <c r="C69" s="129"/>
      <c r="D69" s="130" t="s">
        <v>58</v>
      </c>
      <c r="E69" s="44"/>
    </row>
    <row r="70" ht="90.75" customHeight="1">
      <c r="A70" s="103" t="s">
        <v>59</v>
      </c>
      <c r="E70" s="104"/>
    </row>
    <row r="71">
      <c r="A71" s="131" t="s">
        <v>60</v>
      </c>
      <c r="B71" s="8"/>
      <c r="C71" s="8"/>
      <c r="D71" s="8"/>
      <c r="E71" s="9"/>
    </row>
    <row r="72" ht="15.75" customHeight="1">
      <c r="A72" s="88" t="s">
        <v>36</v>
      </c>
      <c r="B72" s="89">
        <v>0.9</v>
      </c>
      <c r="C72" s="88"/>
      <c r="D72" s="90"/>
      <c r="E72" s="5"/>
    </row>
    <row r="73" ht="15.75" customHeight="1">
      <c r="A73" s="88" t="s">
        <v>37</v>
      </c>
      <c r="B73" s="132">
        <v>46.75</v>
      </c>
      <c r="C73" s="88" t="s">
        <v>38</v>
      </c>
      <c r="D73" s="90"/>
      <c r="E73" s="5"/>
    </row>
    <row r="74" ht="15.75" customHeight="1">
      <c r="A74" s="88" t="s">
        <v>61</v>
      </c>
      <c r="B74" s="132">
        <f>C68*B72</f>
        <v>42.075</v>
      </c>
      <c r="C74" s="88" t="s">
        <v>38</v>
      </c>
      <c r="D74" s="90"/>
      <c r="E74" s="5"/>
    </row>
    <row r="75" ht="15.75" customHeight="1">
      <c r="A75" s="88" t="s">
        <v>62</v>
      </c>
      <c r="B75" s="88">
        <v>9.0</v>
      </c>
      <c r="C75" s="88" t="s">
        <v>38</v>
      </c>
      <c r="D75" s="90"/>
      <c r="E75" s="5"/>
    </row>
    <row r="76" ht="15.75" customHeight="1">
      <c r="A76" s="88" t="s">
        <v>63</v>
      </c>
      <c r="B76" s="88">
        <v>7.5</v>
      </c>
      <c r="C76" s="88" t="s">
        <v>38</v>
      </c>
      <c r="D76" s="90"/>
      <c r="E76" s="5"/>
    </row>
    <row r="77" ht="165.0" customHeight="1">
      <c r="A77" s="45" t="s">
        <v>64</v>
      </c>
      <c r="B77" s="46"/>
      <c r="C77" s="46"/>
      <c r="D77" s="46"/>
      <c r="E77" s="47"/>
    </row>
    <row r="78">
      <c r="A78" s="87" t="s">
        <v>65</v>
      </c>
      <c r="B78" s="49"/>
      <c r="C78" s="49"/>
      <c r="D78" s="49"/>
      <c r="E78" s="50"/>
    </row>
    <row r="79" ht="15.75" customHeight="1">
      <c r="A79" s="10" t="s">
        <v>4</v>
      </c>
      <c r="B79" s="11" t="s">
        <v>5</v>
      </c>
      <c r="C79" s="12" t="s">
        <v>6</v>
      </c>
      <c r="D79" s="110" t="s">
        <v>7</v>
      </c>
      <c r="E79" s="14"/>
    </row>
    <row r="80" ht="15.75" customHeight="1">
      <c r="A80" s="15"/>
      <c r="B80" s="16"/>
      <c r="C80" s="17"/>
      <c r="D80" s="111" t="s">
        <v>8</v>
      </c>
      <c r="E80" s="19">
        <v>28.0</v>
      </c>
    </row>
    <row r="81" ht="15.75" customHeight="1">
      <c r="A81" s="16"/>
      <c r="B81" s="20" t="s">
        <v>66</v>
      </c>
      <c r="C81" s="21" t="s">
        <v>66</v>
      </c>
      <c r="D81" s="22" t="s">
        <v>66</v>
      </c>
      <c r="E81" s="23"/>
    </row>
    <row r="82">
      <c r="A82" s="51" t="s">
        <v>67</v>
      </c>
      <c r="B82" s="25">
        <v>15.0</v>
      </c>
      <c r="C82" s="26">
        <v>7.5</v>
      </c>
      <c r="D82" s="73"/>
      <c r="E82" s="23"/>
    </row>
    <row r="83">
      <c r="A83" s="133" t="s">
        <v>68</v>
      </c>
      <c r="B83" s="134">
        <v>3.0</v>
      </c>
      <c r="C83" s="135">
        <v>1.5</v>
      </c>
      <c r="D83" s="136"/>
      <c r="E83" s="23"/>
    </row>
    <row r="84">
      <c r="A84" s="137" t="s">
        <v>69</v>
      </c>
      <c r="B84" s="138">
        <v>25.0</v>
      </c>
      <c r="C84" s="139">
        <v>12.5</v>
      </c>
      <c r="D84" s="136">
        <f>C84*$E$80</f>
        <v>350</v>
      </c>
      <c r="E84" s="23"/>
    </row>
    <row r="85">
      <c r="A85" s="51" t="s">
        <v>70</v>
      </c>
      <c r="B85" s="11" t="s">
        <v>71</v>
      </c>
      <c r="C85" s="12" t="s">
        <v>72</v>
      </c>
      <c r="D85" s="140" t="s">
        <v>73</v>
      </c>
      <c r="E85" s="141"/>
    </row>
    <row r="86">
      <c r="A86" s="51" t="s">
        <v>74</v>
      </c>
      <c r="B86" s="16"/>
      <c r="C86" s="17"/>
      <c r="D86" s="142"/>
      <c r="E86" s="143"/>
    </row>
    <row r="87">
      <c r="A87" s="144" t="s">
        <v>15</v>
      </c>
      <c r="B87" s="145">
        <f>sum(B83:B84)</f>
        <v>28</v>
      </c>
      <c r="C87" s="146">
        <f>sum(C84)</f>
        <v>12.5</v>
      </c>
      <c r="D87" s="147">
        <f>sum(D83:E84)</f>
        <v>350</v>
      </c>
      <c r="E87" s="23"/>
    </row>
    <row r="88" ht="15.75" customHeight="1">
      <c r="A88" s="63" t="s">
        <v>16</v>
      </c>
      <c r="B88" s="20">
        <v>53.0</v>
      </c>
      <c r="C88" s="21">
        <v>26.5</v>
      </c>
      <c r="D88" s="101"/>
      <c r="E88" s="23"/>
    </row>
    <row r="89">
      <c r="A89" s="148" t="s">
        <v>57</v>
      </c>
      <c r="B89" s="68"/>
      <c r="C89" s="69"/>
      <c r="D89" s="43" t="s">
        <v>75</v>
      </c>
      <c r="E89" s="44"/>
    </row>
    <row r="90" ht="36.0" customHeight="1">
      <c r="A90" s="149" t="s">
        <v>76</v>
      </c>
      <c r="E90" s="104"/>
    </row>
    <row r="91" ht="19.5" customHeight="1">
      <c r="A91" s="150" t="s">
        <v>77</v>
      </c>
      <c r="B91" s="151" t="s">
        <v>78</v>
      </c>
      <c r="C91" s="152"/>
      <c r="D91" s="153"/>
      <c r="E91" s="153"/>
    </row>
    <row r="92" ht="19.5" customHeight="1">
      <c r="A92" s="51" t="s">
        <v>79</v>
      </c>
      <c r="B92" s="154">
        <v>1.0</v>
      </c>
      <c r="C92" s="152"/>
      <c r="D92" s="153"/>
      <c r="E92" s="153"/>
    </row>
    <row r="93" ht="19.5" customHeight="1">
      <c r="A93" s="51" t="s">
        <v>80</v>
      </c>
      <c r="B93" s="154">
        <v>1.0</v>
      </c>
      <c r="C93" s="152"/>
      <c r="D93" s="153"/>
      <c r="E93" s="153"/>
    </row>
    <row r="94" ht="19.5" customHeight="1">
      <c r="A94" s="51" t="s">
        <v>81</v>
      </c>
      <c r="B94" s="155" t="s">
        <v>82</v>
      </c>
      <c r="C94" s="152"/>
      <c r="D94" s="153"/>
      <c r="E94" s="153"/>
    </row>
    <row r="95" ht="19.5" customHeight="1">
      <c r="A95" s="51" t="s">
        <v>83</v>
      </c>
      <c r="B95" s="16"/>
      <c r="C95" s="152"/>
      <c r="D95" s="153"/>
      <c r="E95" s="153"/>
    </row>
    <row r="96" ht="19.5" customHeight="1">
      <c r="A96" s="88" t="s">
        <v>84</v>
      </c>
      <c r="B96" s="154">
        <v>1.0</v>
      </c>
      <c r="C96" s="152"/>
      <c r="D96" s="153"/>
      <c r="E96" s="153"/>
    </row>
    <row r="97" ht="19.5" customHeight="1">
      <c r="A97" s="88" t="s">
        <v>85</v>
      </c>
      <c r="B97" s="156"/>
      <c r="C97" s="152"/>
      <c r="D97" s="153"/>
      <c r="E97" s="153"/>
    </row>
    <row r="98" ht="59.25" customHeight="1">
      <c r="A98" s="157" t="s">
        <v>86</v>
      </c>
      <c r="E98" s="104"/>
    </row>
    <row r="99" ht="15.75" customHeight="1">
      <c r="A99" s="87" t="s">
        <v>87</v>
      </c>
      <c r="B99" s="49"/>
      <c r="C99" s="49"/>
      <c r="D99" s="49"/>
      <c r="E99" s="50"/>
    </row>
    <row r="100" ht="15.75" customHeight="1">
      <c r="A100" s="88" t="s">
        <v>36</v>
      </c>
      <c r="B100" s="89">
        <v>0.8</v>
      </c>
      <c r="C100" s="88"/>
      <c r="D100" s="90"/>
      <c r="E100" s="5"/>
    </row>
    <row r="101" ht="15.75" customHeight="1">
      <c r="A101" s="88" t="s">
        <v>37</v>
      </c>
      <c r="B101" s="132">
        <v>46.75</v>
      </c>
      <c r="C101" s="88" t="s">
        <v>38</v>
      </c>
      <c r="D101" s="90"/>
      <c r="E101" s="5"/>
    </row>
    <row r="102" ht="15.75" customHeight="1">
      <c r="A102" s="88" t="s">
        <v>39</v>
      </c>
      <c r="B102" s="132">
        <f>C88*B100</f>
        <v>21.2</v>
      </c>
      <c r="C102" s="88" t="s">
        <v>38</v>
      </c>
      <c r="D102" s="90"/>
      <c r="E102" s="5"/>
    </row>
    <row r="103" ht="15.75" customHeight="1">
      <c r="A103" s="88" t="s">
        <v>40</v>
      </c>
      <c r="B103" s="88">
        <v>23.0</v>
      </c>
      <c r="C103" s="88" t="s">
        <v>38</v>
      </c>
      <c r="D103" s="90"/>
      <c r="E103" s="5"/>
    </row>
    <row r="104" ht="15.75" customHeight="1">
      <c r="A104" s="88" t="s">
        <v>41</v>
      </c>
      <c r="B104" s="88">
        <v>20.0</v>
      </c>
      <c r="C104" s="88" t="s">
        <v>38</v>
      </c>
      <c r="D104" s="90"/>
      <c r="E104" s="5"/>
    </row>
    <row r="105">
      <c r="A105" s="45" t="s">
        <v>88</v>
      </c>
      <c r="B105" s="46"/>
      <c r="C105" s="46"/>
      <c r="D105" s="46"/>
      <c r="E105" s="47"/>
    </row>
  </sheetData>
  <mergeCells count="97">
    <mergeCell ref="A39:E39"/>
    <mergeCell ref="A40:E40"/>
    <mergeCell ref="A46:E46"/>
    <mergeCell ref="A47:E47"/>
    <mergeCell ref="A48:A50"/>
    <mergeCell ref="B48:B49"/>
    <mergeCell ref="C48:C49"/>
    <mergeCell ref="D48:E48"/>
    <mergeCell ref="D50:E50"/>
    <mergeCell ref="D51:E51"/>
    <mergeCell ref="D52:E52"/>
    <mergeCell ref="D53:E53"/>
    <mergeCell ref="D54:E54"/>
    <mergeCell ref="D55:E55"/>
    <mergeCell ref="D56:E56"/>
    <mergeCell ref="A57:E57"/>
    <mergeCell ref="A58:E58"/>
    <mergeCell ref="A59:E59"/>
    <mergeCell ref="A60:A62"/>
    <mergeCell ref="B60:B61"/>
    <mergeCell ref="C60:C61"/>
    <mergeCell ref="D60:E60"/>
    <mergeCell ref="D62:E62"/>
    <mergeCell ref="D63:E63"/>
    <mergeCell ref="D64:E64"/>
    <mergeCell ref="D65:E65"/>
    <mergeCell ref="D66:E66"/>
    <mergeCell ref="D67:E67"/>
    <mergeCell ref="B79:B80"/>
    <mergeCell ref="C79:C80"/>
    <mergeCell ref="B85:B86"/>
    <mergeCell ref="C85:C86"/>
    <mergeCell ref="B94:B95"/>
    <mergeCell ref="D68:E68"/>
    <mergeCell ref="D69:E69"/>
    <mergeCell ref="A70:E70"/>
    <mergeCell ref="A71:E71"/>
    <mergeCell ref="A77:E77"/>
    <mergeCell ref="A78:E78"/>
    <mergeCell ref="A79:A81"/>
    <mergeCell ref="D88:E88"/>
    <mergeCell ref="D89:E89"/>
    <mergeCell ref="A90:E90"/>
    <mergeCell ref="A98:E98"/>
    <mergeCell ref="A99:E99"/>
    <mergeCell ref="A105:E105"/>
    <mergeCell ref="D79:E79"/>
    <mergeCell ref="D81:E81"/>
    <mergeCell ref="D82:E82"/>
    <mergeCell ref="D83:E83"/>
    <mergeCell ref="D84:E84"/>
    <mergeCell ref="D85:E86"/>
    <mergeCell ref="D87:E87"/>
    <mergeCell ref="A1:E1"/>
    <mergeCell ref="A3:E3"/>
    <mergeCell ref="A4:E4"/>
    <mergeCell ref="A5:A7"/>
    <mergeCell ref="B5:B6"/>
    <mergeCell ref="C5:C6"/>
    <mergeCell ref="D5:E5"/>
    <mergeCell ref="D7:E7"/>
    <mergeCell ref="D8:E8"/>
    <mergeCell ref="D9:E9"/>
    <mergeCell ref="D10:E10"/>
    <mergeCell ref="D11:E11"/>
    <mergeCell ref="D12:E12"/>
    <mergeCell ref="D13:E13"/>
    <mergeCell ref="C18:C19"/>
    <mergeCell ref="D18:E18"/>
    <mergeCell ref="D14:E14"/>
    <mergeCell ref="B15:C15"/>
    <mergeCell ref="D15:E15"/>
    <mergeCell ref="A16:E16"/>
    <mergeCell ref="A17:E17"/>
    <mergeCell ref="A18:A20"/>
    <mergeCell ref="B18:B19"/>
    <mergeCell ref="D20:E20"/>
    <mergeCell ref="D21:E21"/>
    <mergeCell ref="D22:E22"/>
    <mergeCell ref="D23:E23"/>
    <mergeCell ref="D24:E24"/>
    <mergeCell ref="D25:E25"/>
    <mergeCell ref="D26:E26"/>
    <mergeCell ref="A27:E27"/>
    <mergeCell ref="A28:E28"/>
    <mergeCell ref="A29:A31"/>
    <mergeCell ref="B29:B30"/>
    <mergeCell ref="C29:C30"/>
    <mergeCell ref="D29:E29"/>
    <mergeCell ref="D31:E31"/>
    <mergeCell ref="D32:E32"/>
    <mergeCell ref="D33:E33"/>
    <mergeCell ref="D34:E34"/>
    <mergeCell ref="D35:E35"/>
    <mergeCell ref="D36:E36"/>
    <mergeCell ref="D37:E37"/>
    <mergeCell ref="D38:E38"/>
  </mergeCells>
  <printOptions gridLines="1" horizontalCentered="1"/>
  <pageMargins bottom="0.75" footer="0.0" header="0.0" left="0.7" right="0.7" top="0.75"/>
  <pageSetup fitToHeight="0" cellComments="atEnd" orientation="portrait"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6.75"/>
  </cols>
  <sheetData>
    <row r="1" ht="15.75" customHeight="1">
      <c r="A1" s="158" t="s">
        <v>89</v>
      </c>
      <c r="B1" s="158" t="s">
        <v>90</v>
      </c>
      <c r="C1" s="158" t="s">
        <v>91</v>
      </c>
      <c r="D1" s="158" t="s">
        <v>92</v>
      </c>
      <c r="E1" s="158" t="s">
        <v>93</v>
      </c>
    </row>
    <row r="2" ht="15.75" customHeight="1">
      <c r="A2" s="159">
        <v>45658.0</v>
      </c>
      <c r="B2" s="160" t="s">
        <v>94</v>
      </c>
      <c r="C2" s="88" t="s">
        <v>95</v>
      </c>
      <c r="D2" s="88" t="s">
        <v>96</v>
      </c>
      <c r="E2" s="88"/>
    </row>
    <row r="3" ht="15.75" customHeight="1">
      <c r="A3" s="159">
        <v>45659.0</v>
      </c>
      <c r="B3" s="160" t="s">
        <v>97</v>
      </c>
      <c r="C3" s="88" t="s">
        <v>98</v>
      </c>
      <c r="D3" s="88" t="s">
        <v>99</v>
      </c>
      <c r="E3" s="88"/>
    </row>
    <row r="4" ht="15.75" customHeight="1">
      <c r="A4" s="159">
        <v>45660.0</v>
      </c>
      <c r="B4" s="160" t="s">
        <v>100</v>
      </c>
      <c r="C4" s="88" t="s">
        <v>95</v>
      </c>
      <c r="D4" s="88" t="s">
        <v>96</v>
      </c>
      <c r="E4" s="88"/>
    </row>
    <row r="5" ht="15.75" customHeight="1">
      <c r="A5" s="159">
        <v>45661.0</v>
      </c>
      <c r="B5" s="160" t="s">
        <v>101</v>
      </c>
      <c r="C5" s="88" t="s">
        <v>95</v>
      </c>
      <c r="D5" s="88" t="s">
        <v>96</v>
      </c>
      <c r="E5" s="88"/>
    </row>
    <row r="6" ht="15.75" customHeight="1">
      <c r="A6" s="159">
        <v>45662.0</v>
      </c>
      <c r="B6" s="160" t="s">
        <v>102</v>
      </c>
      <c r="C6" s="88" t="s">
        <v>95</v>
      </c>
      <c r="D6" s="88" t="s">
        <v>96</v>
      </c>
      <c r="E6" s="88"/>
    </row>
    <row r="7" ht="15.75" customHeight="1">
      <c r="A7" s="159">
        <v>45663.0</v>
      </c>
      <c r="B7" s="160" t="s">
        <v>103</v>
      </c>
      <c r="C7" s="88" t="s">
        <v>104</v>
      </c>
      <c r="D7" s="88" t="s">
        <v>104</v>
      </c>
      <c r="E7" s="88"/>
    </row>
    <row r="8" ht="15.75" customHeight="1">
      <c r="A8" s="159">
        <v>45689.0</v>
      </c>
      <c r="B8" s="160" t="s">
        <v>105</v>
      </c>
      <c r="C8" s="88" t="s">
        <v>95</v>
      </c>
      <c r="D8" s="88" t="s">
        <v>96</v>
      </c>
      <c r="E8" s="88"/>
    </row>
    <row r="9" ht="15.75" customHeight="1">
      <c r="A9" s="159">
        <v>45690.0</v>
      </c>
      <c r="B9" s="160" t="s">
        <v>106</v>
      </c>
      <c r="C9" s="88" t="s">
        <v>98</v>
      </c>
      <c r="D9" s="88" t="s">
        <v>99</v>
      </c>
      <c r="E9" s="88"/>
    </row>
    <row r="10" ht="15.75" customHeight="1">
      <c r="A10" s="159">
        <v>45691.0</v>
      </c>
      <c r="B10" s="160" t="s">
        <v>107</v>
      </c>
      <c r="C10" s="88" t="s">
        <v>95</v>
      </c>
      <c r="D10" s="88" t="s">
        <v>96</v>
      </c>
      <c r="E10" s="88"/>
    </row>
    <row r="11" ht="15.75" customHeight="1">
      <c r="A11" s="159">
        <v>45692.0</v>
      </c>
      <c r="B11" s="160" t="s">
        <v>108</v>
      </c>
      <c r="C11" s="88" t="s">
        <v>95</v>
      </c>
      <c r="D11" s="88" t="s">
        <v>96</v>
      </c>
      <c r="E11" s="88"/>
    </row>
    <row r="12" ht="15.75" customHeight="1">
      <c r="A12" s="159">
        <v>45693.0</v>
      </c>
      <c r="B12" s="160" t="s">
        <v>109</v>
      </c>
      <c r="C12" s="88" t="s">
        <v>95</v>
      </c>
      <c r="D12" s="88" t="s">
        <v>96</v>
      </c>
      <c r="E12" s="88"/>
    </row>
    <row r="13" ht="15.75" customHeight="1">
      <c r="A13" s="159">
        <v>45694.0</v>
      </c>
      <c r="B13" s="160" t="s">
        <v>110</v>
      </c>
      <c r="C13" s="88" t="s">
        <v>104</v>
      </c>
      <c r="D13" s="88" t="s">
        <v>104</v>
      </c>
      <c r="E13" s="88"/>
    </row>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drawing r:id="rId1"/>
</worksheet>
</file>