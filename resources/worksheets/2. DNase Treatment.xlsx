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ymo DNase I" sheetId="1" r:id="rId4"/>
    <sheet state="visible" name="Qiagen DNase I" sheetId="2" r:id="rId5"/>
  </sheets>
  <definedNames/>
  <calcPr/>
  <extLst>
    <ext uri="GoogleSheetsCustomDataVersion2">
      <go:sheetsCustomData xmlns:go="http://customooxmlschemas.google.com/" r:id="rId6" roundtripDataChecksum="BlDNx7lwVqY2vaJEa2ziNfOzjTMeWxBtvucJUzhIuTI="/>
    </ext>
  </extLst>
</workbook>
</file>

<file path=xl/sharedStrings.xml><?xml version="1.0" encoding="utf-8"?>
<sst xmlns="http://schemas.openxmlformats.org/spreadsheetml/2006/main" count="60" uniqueCount="32">
  <si>
    <t>DNase treatment</t>
  </si>
  <si>
    <t>Reagent</t>
  </si>
  <si>
    <t>87.5 µL sample</t>
  </si>
  <si>
    <t>20 µL sample</t>
  </si>
  <si>
    <t>X 20µL rxns</t>
  </si>
  <si>
    <t>X =</t>
  </si>
  <si>
    <t>vol stock (µL)</t>
  </si>
  <si>
    <t>TNA sample</t>
  </si>
  <si>
    <t>20 each</t>
  </si>
  <si>
    <t>DNA Digestion Buffer (Zymo)</t>
  </si>
  <si>
    <t>DNase I stock (1U/ul) (Zymo)</t>
  </si>
  <si>
    <t>Master Mix volume</t>
  </si>
  <si>
    <t>Total volume</t>
  </si>
  <si>
    <t>25 each</t>
  </si>
  <si>
    <t>Green = Reagents to add to master mix</t>
  </si>
  <si>
    <t>Add 5 µL mix to TNA sample</t>
  </si>
  <si>
    <t>Incubate for 15min at RT
Do a SPRI clean-up as follows</t>
  </si>
  <si>
    <t>SPRI Bead Clean-up</t>
  </si>
  <si>
    <t>SPRI bead ratio:</t>
  </si>
  <si>
    <t>SPRI to add (per half rxn):</t>
  </si>
  <si>
    <t>µL</t>
  </si>
  <si>
    <t>Total SPRI bead volume:</t>
  </si>
  <si>
    <t>Elution volume (per half rxn):</t>
  </si>
  <si>
    <t>Aspiration volume (per half rxn):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</si>
  <si>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SPRI clean-up protocol:
</t>
    </r>
    <r>
      <rPr>
        <rFont val="Arial"/>
        <color theme="1"/>
      </rPr>
      <t>*allow beads to sit in RT for 30 mins prior. Ensure you have enough 80% ethanol (500ul per sample).
1. Add room temperature beads to rxn. Mix well by pipetting up and down 10 times.
2. Incubate for 5 mins at room temperature.
3. Place samples on magnetic rack, and incubate for 5 mins on the rack.
4. Remove supernatant and add 200uL of 80% EtOH to samples while on the magnetic rack. 
5. Incubate at room temperature for 30s and remove the supernatant.
6. Repeat EtOH wash step for a total of 2 times.
7. Air dry the beads for 5 mins while on the magnetic rack.
8. Remove tube from magnetic rack. Elute DNA from beads into nuclease free water (can also use 0.1x TE Buffer, 10mM Tris-HCl)
9. Pipette mix and incubate for a minimum of 5 mins at room temperature off the magnetic rack.
10. Place on magnetic rack until solution is clear, ~ 5 mins.
11. Aspirate supernatant and transfer to a clean nuclease free PCR tube.</t>
    </r>
  </si>
  <si>
    <t>RDD Buffer (Qiagen)</t>
  </si>
  <si>
    <t>DNase I (Qiagen)</t>
  </si>
  <si>
    <t>22.86 each</t>
  </si>
  <si>
    <t>Pink = Reagents to add to master mix</t>
  </si>
  <si>
    <t>Add 2.86 µL mix to TNA sample</t>
  </si>
  <si>
    <t>Incubate for 30min at RT
Do a SPRI clean-up as follows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</si>
  <si>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SPRI clean-up protocol:
</t>
    </r>
    <r>
      <rPr>
        <rFont val="Arial"/>
        <color theme="1"/>
      </rPr>
      <t>*allow beads to sit in RT for 30 mins prior. Ensure you have enough 80% ethanol.
1. Add room temperature beads to rxn. Mix well by pipetting up and down 10 times.
2. Incubate for 5 mins at room temperature.
3. Place samples on magnetic rack, and incubate for 5 mins on the rack.
4. Remove supernatant and add 200uL of 80% EtOH to samples while on the magnetic rack. 
5. Incubate at room temperature for 30s and remove the supernatant.
6. Repeat EtOH wash step for a total of 2 times.
7. Air dry the beads for 5 mins while on the magnetic rack.
8. Remove tube from magnetic rack. Elute DNA from beads into nuclease free water (can also use 0.1x TE Buffer, 10mM Tris-HCl)
9. Pipette mix and incubate for 2 mins at room temperature off the magnetic rack.
10. Place on magnetic rack until solution is clear, ~ 5 mins.
11. Aspirate supernatant and transfer to a clean nuclease free PCR tube.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</si>
</sst>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3">
    <border/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7" fillId="0" fontId="2" numFmtId="0" xfId="0" applyBorder="1" applyFont="1"/>
    <xf borderId="4" fillId="0" fontId="2" numFmtId="0" xfId="0" applyBorder="1" applyFont="1"/>
    <xf borderId="8" fillId="0" fontId="4" numFmtId="0" xfId="0" applyAlignment="1" applyBorder="1" applyFont="1">
      <alignment vertical="bottom"/>
    </xf>
    <xf borderId="6" fillId="2" fontId="4" numFmtId="0" xfId="0" applyAlignment="1" applyBorder="1" applyFill="1" applyFont="1">
      <alignment horizontal="center" vertical="bottom"/>
    </xf>
    <xf borderId="9" fillId="0" fontId="2" numFmtId="0" xfId="0" applyBorder="1" applyFont="1"/>
    <xf borderId="7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wrapText="1"/>
    </xf>
    <xf borderId="6" fillId="0" fontId="4" numFmtId="2" xfId="0" applyAlignment="1" applyBorder="1" applyFont="1" applyNumberFormat="1">
      <alignment horizontal="center" shrinkToFit="0" wrapText="1"/>
    </xf>
    <xf borderId="9" fillId="3" fontId="4" numFmtId="0" xfId="0" applyAlignment="1" applyBorder="1" applyFill="1" applyFont="1">
      <alignment shrinkToFit="0" wrapText="1"/>
    </xf>
    <xf borderId="7" fillId="3" fontId="4" numFmtId="0" xfId="0" applyAlignment="1" applyBorder="1" applyFont="1">
      <alignment horizontal="center" shrinkToFit="0" wrapText="1"/>
    </xf>
    <xf borderId="7" fillId="3" fontId="4" numFmtId="2" xfId="0" applyAlignment="1" applyBorder="1" applyFont="1" applyNumberFormat="1">
      <alignment horizontal="center" shrinkToFit="0" wrapText="1"/>
    </xf>
    <xf borderId="6" fillId="3" fontId="4" numFmtId="2" xfId="0" applyAlignment="1" applyBorder="1" applyFont="1" applyNumberFormat="1">
      <alignment horizontal="center" shrinkToFit="0" wrapText="1"/>
    </xf>
    <xf borderId="9" fillId="4" fontId="4" numFmtId="0" xfId="0" applyAlignment="1" applyBorder="1" applyFill="1" applyFont="1">
      <alignment shrinkToFit="0" wrapText="1"/>
    </xf>
    <xf borderId="7" fillId="4" fontId="4" numFmtId="0" xfId="0" applyAlignment="1" applyBorder="1" applyFont="1">
      <alignment horizontal="center" shrinkToFit="0" wrapText="1"/>
    </xf>
    <xf borderId="7" fillId="4" fontId="4" numFmtId="2" xfId="0" applyAlignment="1" applyBorder="1" applyFont="1" applyNumberFormat="1">
      <alignment horizontal="center" shrinkToFit="0" wrapText="1"/>
    </xf>
    <xf borderId="6" fillId="4" fontId="4" numFmtId="2" xfId="0" applyAlignment="1" applyBorder="1" applyFont="1" applyNumberFormat="1">
      <alignment horizontal="center" shrinkToFit="0" wrapText="1"/>
    </xf>
    <xf borderId="9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/>
    </xf>
    <xf borderId="7" fillId="0" fontId="3" numFmtId="2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10" fillId="3" fontId="4" numFmtId="0" xfId="0" applyAlignment="1" applyBorder="1" applyFont="1">
      <alignment shrinkToFit="0" wrapText="1"/>
    </xf>
    <xf borderId="11" fillId="0" fontId="4" numFmtId="0" xfId="0" applyBorder="1" applyFont="1"/>
    <xf borderId="12" fillId="0" fontId="2" numFmtId="0" xfId="0" applyBorder="1" applyFont="1"/>
    <xf borderId="13" fillId="3" fontId="4" numFmtId="0" xfId="0" applyAlignment="1" applyBorder="1" applyFont="1">
      <alignment horizontal="center" shrinkToFit="0" vertical="top" wrapText="1"/>
    </xf>
    <xf borderId="14" fillId="0" fontId="2" numFmtId="0" xfId="0" applyBorder="1" applyFont="1"/>
    <xf borderId="15" fillId="0" fontId="4" numFmtId="0" xfId="0" applyBorder="1" applyFont="1"/>
    <xf borderId="16" fillId="0" fontId="4" numFmtId="0" xfId="0" applyBorder="1" applyFont="1"/>
    <xf borderId="16" fillId="0" fontId="4" numFmtId="0" xfId="0" applyAlignment="1" applyBorder="1" applyFont="1">
      <alignment readingOrder="0"/>
    </xf>
    <xf borderId="17" fillId="0" fontId="1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10" fillId="0" fontId="4" numFmtId="0" xfId="0" applyAlignment="1" applyBorder="1" applyFont="1">
      <alignment vertical="bottom"/>
    </xf>
    <xf borderId="10" fillId="0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0" fillId="0" fontId="4" numFmtId="2" xfId="0" applyAlignment="1" applyBorder="1" applyFont="1" applyNumberFormat="1">
      <alignment horizontal="right" vertical="bottom"/>
    </xf>
    <xf borderId="10" fillId="0" fontId="4" numFmtId="0" xfId="0" applyAlignment="1" applyBorder="1" applyFont="1">
      <alignment horizontal="right" vertical="bottom"/>
    </xf>
    <xf borderId="21" fillId="0" fontId="4" numFmtId="0" xfId="0" applyAlignment="1" applyBorder="1" applyFont="1">
      <alignment shrinkToFit="0" vertical="top" wrapText="1"/>
    </xf>
    <xf borderId="11" fillId="0" fontId="2" numFmtId="0" xfId="0" applyBorder="1" applyFont="1"/>
    <xf borderId="22" fillId="0" fontId="2" numFmtId="0" xfId="0" applyBorder="1" applyFont="1"/>
    <xf borderId="9" fillId="5" fontId="4" numFmtId="0" xfId="0" applyAlignment="1" applyBorder="1" applyFill="1" applyFont="1">
      <alignment shrinkToFit="0" wrapText="1"/>
    </xf>
    <xf borderId="7" fillId="5" fontId="4" numFmtId="0" xfId="0" applyAlignment="1" applyBorder="1" applyFont="1">
      <alignment horizontal="center" shrinkToFit="0" wrapText="1"/>
    </xf>
    <xf borderId="7" fillId="5" fontId="4" numFmtId="2" xfId="0" applyAlignment="1" applyBorder="1" applyFont="1" applyNumberFormat="1">
      <alignment horizontal="center" shrinkToFit="0" wrapText="1"/>
    </xf>
    <xf borderId="6" fillId="5" fontId="4" numFmtId="2" xfId="0" applyAlignment="1" applyBorder="1" applyFont="1" applyNumberFormat="1">
      <alignment horizontal="center" shrinkToFit="0" wrapText="1"/>
    </xf>
    <xf borderId="9" fillId="6" fontId="4" numFmtId="0" xfId="0" applyAlignment="1" applyBorder="1" applyFill="1" applyFont="1">
      <alignment shrinkToFit="0" wrapText="1"/>
    </xf>
    <xf borderId="7" fillId="6" fontId="4" numFmtId="0" xfId="0" applyAlignment="1" applyBorder="1" applyFont="1">
      <alignment horizontal="center" shrinkToFit="0" wrapText="1"/>
    </xf>
    <xf borderId="7" fillId="6" fontId="4" numFmtId="2" xfId="0" applyAlignment="1" applyBorder="1" applyFont="1" applyNumberFormat="1">
      <alignment horizontal="center" shrinkToFit="0" wrapText="1"/>
    </xf>
    <xf borderId="6" fillId="6" fontId="4" numFmtId="2" xfId="0" applyAlignment="1" applyBorder="1" applyFont="1" applyNumberFormat="1">
      <alignment horizontal="center" shrinkToFit="0" wrapText="1"/>
    </xf>
    <xf borderId="10" fillId="5" fontId="4" numFmtId="0" xfId="0" applyAlignment="1" applyBorder="1" applyFont="1">
      <alignment shrinkToFit="0" wrapText="1"/>
    </xf>
    <xf borderId="13" fillId="5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88"/>
    <col customWidth="1" min="2" max="5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7"/>
    </row>
    <row r="3" ht="15.75" customHeight="1">
      <c r="A3" s="8"/>
      <c r="B3" s="7"/>
      <c r="C3" s="7"/>
      <c r="D3" s="9" t="s">
        <v>5</v>
      </c>
      <c r="E3" s="10">
        <v>15.0</v>
      </c>
    </row>
    <row r="4" ht="15.75" customHeight="1">
      <c r="A4" s="11"/>
      <c r="B4" s="12" t="s">
        <v>6</v>
      </c>
      <c r="C4" s="12" t="s">
        <v>6</v>
      </c>
      <c r="D4" s="13" t="s">
        <v>6</v>
      </c>
      <c r="E4" s="7"/>
    </row>
    <row r="5" ht="15.75" customHeight="1">
      <c r="A5" s="14" t="s">
        <v>7</v>
      </c>
      <c r="B5" s="15">
        <v>40.0</v>
      </c>
      <c r="C5" s="15">
        <v>20.0</v>
      </c>
      <c r="D5" s="16" t="s">
        <v>8</v>
      </c>
      <c r="E5" s="7"/>
    </row>
    <row r="6" ht="15.75" customHeight="1">
      <c r="A6" s="17" t="s">
        <v>9</v>
      </c>
      <c r="B6" s="18">
        <v>5.0</v>
      </c>
      <c r="C6" s="19">
        <f t="shared" ref="C6:C8" si="1">B6*C5/B5</f>
        <v>2.5</v>
      </c>
      <c r="D6" s="20">
        <f t="shared" ref="D6:D8" si="2">C6*$E$3*1.1</f>
        <v>41.25</v>
      </c>
      <c r="E6" s="7"/>
    </row>
    <row r="7" ht="15.75" customHeight="1">
      <c r="A7" s="17" t="s">
        <v>10</v>
      </c>
      <c r="B7" s="18">
        <v>5.0</v>
      </c>
      <c r="C7" s="19">
        <f t="shared" si="1"/>
        <v>2.5</v>
      </c>
      <c r="D7" s="20">
        <f t="shared" si="2"/>
        <v>41.25</v>
      </c>
      <c r="E7" s="7"/>
    </row>
    <row r="8" ht="15.75" customHeight="1">
      <c r="A8" s="21" t="s">
        <v>11</v>
      </c>
      <c r="B8" s="22">
        <f>sum(B6:B7)</f>
        <v>10</v>
      </c>
      <c r="C8" s="23">
        <f t="shared" si="1"/>
        <v>5</v>
      </c>
      <c r="D8" s="24">
        <f t="shared" si="2"/>
        <v>82.5</v>
      </c>
      <c r="E8" s="7"/>
    </row>
    <row r="9" ht="15.75" customHeight="1">
      <c r="A9" s="25" t="s">
        <v>12</v>
      </c>
      <c r="B9" s="26">
        <f t="shared" ref="B9:C9" si="3">sum(B5:B7)</f>
        <v>50</v>
      </c>
      <c r="C9" s="27">
        <f t="shared" si="3"/>
        <v>25</v>
      </c>
      <c r="D9" s="28" t="s">
        <v>13</v>
      </c>
      <c r="E9" s="7"/>
    </row>
    <row r="10" ht="15.75" customHeight="1">
      <c r="A10" s="29" t="s">
        <v>14</v>
      </c>
      <c r="B10" s="30"/>
      <c r="C10" s="31"/>
      <c r="D10" s="32" t="s">
        <v>15</v>
      </c>
      <c r="E10" s="33"/>
    </row>
    <row r="11" ht="15.75" customHeight="1">
      <c r="A11" s="34"/>
      <c r="B11" s="35"/>
      <c r="C11" s="35"/>
      <c r="D11" s="34"/>
      <c r="E11" s="34"/>
    </row>
    <row r="12" ht="15.75" customHeight="1">
      <c r="A12" s="36" t="s">
        <v>16</v>
      </c>
      <c r="B12" s="35"/>
      <c r="C12" s="35"/>
      <c r="D12" s="35"/>
      <c r="E12" s="35"/>
    </row>
    <row r="13" ht="15.75" customHeight="1">
      <c r="A13" s="37" t="s">
        <v>17</v>
      </c>
      <c r="B13" s="38"/>
      <c r="C13" s="38"/>
      <c r="D13" s="38"/>
      <c r="E13" s="39"/>
    </row>
    <row r="14" ht="15.75" customHeight="1">
      <c r="A14" s="40" t="s">
        <v>18</v>
      </c>
      <c r="B14" s="41">
        <v>2.0</v>
      </c>
      <c r="C14" s="40"/>
      <c r="D14" s="42"/>
      <c r="E14" s="43"/>
    </row>
    <row r="15" ht="15.75" customHeight="1">
      <c r="A15" s="40" t="s">
        <v>19</v>
      </c>
      <c r="B15" s="44">
        <f>B14*C9</f>
        <v>50</v>
      </c>
      <c r="C15" s="40" t="s">
        <v>20</v>
      </c>
      <c r="D15" s="42"/>
      <c r="E15" s="43"/>
    </row>
    <row r="16" ht="15.75" customHeight="1">
      <c r="A16" s="40" t="s">
        <v>21</v>
      </c>
      <c r="B16" s="44">
        <f>B15*E3</f>
        <v>750</v>
      </c>
      <c r="C16" s="40" t="s">
        <v>20</v>
      </c>
      <c r="D16" s="42"/>
      <c r="E16" s="43"/>
    </row>
    <row r="17" ht="15.75" customHeight="1">
      <c r="A17" s="40" t="s">
        <v>22</v>
      </c>
      <c r="B17" s="45">
        <v>17.0</v>
      </c>
      <c r="C17" s="40" t="s">
        <v>20</v>
      </c>
      <c r="D17" s="42"/>
      <c r="E17" s="43"/>
    </row>
    <row r="18" ht="15.75" customHeight="1">
      <c r="A18" s="40" t="s">
        <v>23</v>
      </c>
      <c r="B18" s="45">
        <v>15.0</v>
      </c>
      <c r="C18" s="40" t="s">
        <v>20</v>
      </c>
      <c r="D18" s="42"/>
      <c r="E18" s="43"/>
    </row>
    <row r="19" ht="15.75" customHeight="1">
      <c r="A19" s="46" t="s">
        <v>24</v>
      </c>
      <c r="B19" s="47"/>
      <c r="C19" s="47"/>
      <c r="D19" s="47"/>
      <c r="E19" s="4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6:E6"/>
    <mergeCell ref="D7:E7"/>
    <mergeCell ref="D8:E8"/>
    <mergeCell ref="D9:E9"/>
    <mergeCell ref="B10:C10"/>
    <mergeCell ref="D10:E10"/>
    <mergeCell ref="A13:E13"/>
    <mergeCell ref="A19:E19"/>
    <mergeCell ref="A1:E1"/>
    <mergeCell ref="A2:A4"/>
    <mergeCell ref="B2:B3"/>
    <mergeCell ref="C2:C3"/>
    <mergeCell ref="D2:E2"/>
    <mergeCell ref="D4:E4"/>
    <mergeCell ref="D5:E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5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7"/>
    </row>
    <row r="3" ht="15.75" customHeight="1">
      <c r="A3" s="8"/>
      <c r="B3" s="7"/>
      <c r="C3" s="7"/>
      <c r="D3" s="9" t="s">
        <v>5</v>
      </c>
      <c r="E3" s="10">
        <v>30.0</v>
      </c>
    </row>
    <row r="4" ht="15.75" customHeight="1">
      <c r="A4" s="11"/>
      <c r="B4" s="12" t="s">
        <v>6</v>
      </c>
      <c r="C4" s="12" t="s">
        <v>6</v>
      </c>
      <c r="D4" s="13" t="s">
        <v>6</v>
      </c>
      <c r="E4" s="7"/>
    </row>
    <row r="5" ht="15.75" customHeight="1">
      <c r="A5" s="14" t="s">
        <v>7</v>
      </c>
      <c r="B5" s="15">
        <v>87.5</v>
      </c>
      <c r="C5" s="15">
        <v>20.0</v>
      </c>
      <c r="D5" s="16" t="s">
        <v>8</v>
      </c>
      <c r="E5" s="7"/>
    </row>
    <row r="6" ht="15.75" customHeight="1">
      <c r="A6" s="49" t="s">
        <v>25</v>
      </c>
      <c r="B6" s="50">
        <v>10.0</v>
      </c>
      <c r="C6" s="51">
        <f t="shared" ref="C6:C8" si="1">B6*C5/B5</f>
        <v>2.285714286</v>
      </c>
      <c r="D6" s="52">
        <f t="shared" ref="D6:D8" si="2">C6*$E$3*1.1</f>
        <v>75.42857143</v>
      </c>
      <c r="E6" s="7"/>
    </row>
    <row r="7" ht="15.75" customHeight="1">
      <c r="A7" s="49" t="s">
        <v>26</v>
      </c>
      <c r="B7" s="50">
        <v>2.5</v>
      </c>
      <c r="C7" s="51">
        <f t="shared" si="1"/>
        <v>0.5714285714</v>
      </c>
      <c r="D7" s="52">
        <f t="shared" si="2"/>
        <v>18.85714286</v>
      </c>
      <c r="E7" s="7"/>
    </row>
    <row r="8" ht="15.75" customHeight="1">
      <c r="A8" s="53" t="s">
        <v>11</v>
      </c>
      <c r="B8" s="54">
        <f>sum(B6:B7)</f>
        <v>12.5</v>
      </c>
      <c r="C8" s="55">
        <f t="shared" si="1"/>
        <v>2.857142857</v>
      </c>
      <c r="D8" s="56">
        <f t="shared" si="2"/>
        <v>94.28571429</v>
      </c>
      <c r="E8" s="7"/>
    </row>
    <row r="9" ht="15.75" customHeight="1">
      <c r="A9" s="25" t="s">
        <v>12</v>
      </c>
      <c r="B9" s="26">
        <f t="shared" ref="B9:C9" si="3">sum(B5:B7)</f>
        <v>100</v>
      </c>
      <c r="C9" s="27">
        <f t="shared" si="3"/>
        <v>22.85714286</v>
      </c>
      <c r="D9" s="28" t="s">
        <v>27</v>
      </c>
      <c r="E9" s="7"/>
    </row>
    <row r="10" ht="15.75" customHeight="1">
      <c r="A10" s="57" t="s">
        <v>28</v>
      </c>
      <c r="B10" s="30"/>
      <c r="C10" s="31"/>
      <c r="D10" s="58" t="s">
        <v>29</v>
      </c>
      <c r="E10" s="33"/>
    </row>
    <row r="11" ht="15.75" customHeight="1">
      <c r="A11" s="34"/>
      <c r="B11" s="35"/>
      <c r="C11" s="35"/>
      <c r="D11" s="34"/>
      <c r="E11" s="34"/>
    </row>
    <row r="12" ht="15.75" customHeight="1">
      <c r="A12" s="35" t="s">
        <v>30</v>
      </c>
      <c r="B12" s="35"/>
      <c r="C12" s="35"/>
      <c r="D12" s="35"/>
      <c r="E12" s="35"/>
    </row>
    <row r="13" ht="15.75" customHeight="1">
      <c r="A13" s="37" t="s">
        <v>17</v>
      </c>
      <c r="B13" s="38"/>
      <c r="C13" s="38"/>
      <c r="D13" s="38"/>
      <c r="E13" s="39"/>
    </row>
    <row r="14" ht="15.75" customHeight="1">
      <c r="A14" s="40" t="s">
        <v>18</v>
      </c>
      <c r="B14" s="41">
        <v>2.0</v>
      </c>
      <c r="C14" s="40"/>
      <c r="D14" s="42"/>
      <c r="E14" s="43"/>
    </row>
    <row r="15" ht="15.75" customHeight="1">
      <c r="A15" s="40" t="s">
        <v>19</v>
      </c>
      <c r="B15" s="44">
        <f>B14*C9</f>
        <v>45.71428571</v>
      </c>
      <c r="C15" s="40" t="s">
        <v>20</v>
      </c>
      <c r="D15" s="42"/>
      <c r="E15" s="43"/>
    </row>
    <row r="16" ht="15.75" customHeight="1">
      <c r="A16" s="40" t="s">
        <v>21</v>
      </c>
      <c r="B16" s="44">
        <f>B15*E3</f>
        <v>1371.428571</v>
      </c>
      <c r="C16" s="40" t="s">
        <v>20</v>
      </c>
      <c r="D16" s="42"/>
      <c r="E16" s="43"/>
    </row>
    <row r="17" ht="15.75" customHeight="1">
      <c r="A17" s="40" t="s">
        <v>22</v>
      </c>
      <c r="B17" s="45">
        <v>12.0</v>
      </c>
      <c r="C17" s="40" t="s">
        <v>20</v>
      </c>
      <c r="D17" s="42"/>
      <c r="E17" s="43"/>
    </row>
    <row r="18" ht="15.75" customHeight="1">
      <c r="A18" s="40" t="s">
        <v>23</v>
      </c>
      <c r="B18" s="45">
        <v>10.0</v>
      </c>
      <c r="C18" s="40" t="s">
        <v>20</v>
      </c>
      <c r="D18" s="42"/>
      <c r="E18" s="43"/>
    </row>
    <row r="19" ht="15.75" customHeight="1">
      <c r="A19" s="46" t="s">
        <v>31</v>
      </c>
      <c r="B19" s="47"/>
      <c r="C19" s="47"/>
      <c r="D19" s="47"/>
      <c r="E19" s="4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6:E6"/>
    <mergeCell ref="D7:E7"/>
    <mergeCell ref="D8:E8"/>
    <mergeCell ref="D9:E9"/>
    <mergeCell ref="B10:C10"/>
    <mergeCell ref="D10:E10"/>
    <mergeCell ref="A13:E13"/>
    <mergeCell ref="A19:E19"/>
    <mergeCell ref="A1:E1"/>
    <mergeCell ref="A2:A4"/>
    <mergeCell ref="B2:B3"/>
    <mergeCell ref="C2:C3"/>
    <mergeCell ref="D2:E2"/>
    <mergeCell ref="D4:E4"/>
    <mergeCell ref="D5:E5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